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rum\OneDrive\Documents\UNTAPPED-DloHaiti\Finance Redesign\"/>
    </mc:Choice>
  </mc:AlternateContent>
  <xr:revisionPtr revIDLastSave="355" documentId="8_{A1634673-CB5F-4C72-A425-416A9F3F0269}" xr6:coauthVersionLast="41" xr6:coauthVersionMax="41" xr10:uidLastSave="{EA125AD0-B414-4A9F-8175-A4D8D7F25D57}"/>
  <bookViews>
    <workbookView xWindow="-120" yWindow="-120" windowWidth="20730" windowHeight="11160" xr2:uid="{A5588EB2-9356-4F49-8F99-45809A47CC4F}"/>
  </bookViews>
  <sheets>
    <sheet name="Bonus Structure" sheetId="3" r:id="rId1"/>
    <sheet name="Trike Bonus" sheetId="7" r:id="rId2"/>
    <sheet name="April Bonus" sheetId="6" r:id="rId3"/>
    <sheet name="Payroll" sheetId="1" r:id="rId4"/>
    <sheet name="KPIs" sheetId="2" r:id="rId5"/>
    <sheet name="Site Expenses" sheetId="5" r:id="rId6"/>
  </sheets>
  <definedNames>
    <definedName name="_xlnm._FilterDatabase" localSheetId="3" hidden="1">Payroll!$A$1:$D$61</definedName>
    <definedName name="asd">#REF!</definedName>
    <definedName name="CIQWBGuid" hidden="1">"2cd8126d-26c3-430c-b7fa-a069e3a1fc62"</definedName>
    <definedName name="Forecast">#REF!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Operating" localSheetId="3">#REF!</definedName>
    <definedName name="Operating">#REF!</definedName>
    <definedName name="Other" localSheetId="3">#REF!</definedName>
    <definedName name="Other">#REF!</definedName>
    <definedName name="Product" localSheetId="3">#REF!</definedName>
    <definedName name="Product">#REF!</definedName>
    <definedName name="Production" localSheetId="3">#REF!</definedName>
    <definedName name="Production">#REF!</definedName>
    <definedName name="Staff" localSheetId="3">#REF!</definedName>
    <definedName name="Staff">#REF!</definedName>
    <definedName name="Step_1">#REF!</definedName>
    <definedName name="Step_2">#REF!</definedName>
    <definedName name="Step_3">#REF!</definedName>
    <definedName name="Step_4">#REF!</definedName>
    <definedName name="Step_5">#REF!</definedName>
    <definedName name="Step_6">#REF!</definedName>
    <definedName name="Step1">#REF!</definedName>
    <definedName name="Step2">#REF!</definedName>
    <definedName name="Step3">#REF!</definedName>
    <definedName name="Step4">#REF!</definedName>
    <definedName name="Step5">#REF!</definedName>
    <definedName name="Step6">#REF!</definedName>
    <definedName name="Three">#REF!</definedName>
    <definedName name="Transport" localSheetId="3">#REF!</definedName>
    <definedName name="Transport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3" l="1"/>
  <c r="D19" i="7"/>
  <c r="E19" i="7"/>
  <c r="L19" i="7"/>
  <c r="G20" i="7"/>
  <c r="L20" i="7"/>
  <c r="H21" i="7"/>
  <c r="L21" i="7"/>
  <c r="J22" i="7"/>
  <c r="L22" i="7"/>
  <c r="L23" i="7"/>
  <c r="M23" i="7"/>
  <c r="K22" i="7"/>
  <c r="I21" i="7"/>
  <c r="F19" i="7"/>
  <c r="L16" i="7"/>
  <c r="L15" i="7"/>
  <c r="L14" i="7"/>
  <c r="L13" i="7"/>
  <c r="L7" i="7"/>
  <c r="L8" i="7"/>
  <c r="L9" i="7"/>
  <c r="L10" i="7"/>
  <c r="L5" i="7"/>
  <c r="G15" i="3"/>
  <c r="G16" i="3"/>
  <c r="G18" i="3"/>
  <c r="G19" i="3"/>
  <c r="G20" i="3"/>
  <c r="E16" i="3"/>
  <c r="E18" i="3"/>
  <c r="E19" i="3"/>
  <c r="E15" i="3"/>
  <c r="E20" i="3"/>
  <c r="F16" i="3"/>
  <c r="F18" i="3"/>
  <c r="F19" i="3"/>
  <c r="F15" i="3"/>
  <c r="F20" i="3"/>
  <c r="H16" i="3"/>
  <c r="H18" i="3"/>
  <c r="H19" i="3"/>
  <c r="H15" i="3"/>
  <c r="H20" i="3"/>
  <c r="I16" i="3"/>
  <c r="I18" i="3"/>
  <c r="I19" i="3"/>
  <c r="I15" i="3"/>
  <c r="I20" i="3"/>
  <c r="J16" i="3"/>
  <c r="J18" i="3"/>
  <c r="J19" i="3"/>
  <c r="J15" i="3"/>
  <c r="J20" i="3"/>
  <c r="K16" i="3"/>
  <c r="K18" i="3"/>
  <c r="K19" i="3"/>
  <c r="K15" i="3"/>
  <c r="K20" i="3"/>
  <c r="L20" i="3"/>
  <c r="M20" i="3"/>
  <c r="G6" i="3"/>
  <c r="G4" i="3"/>
  <c r="G10" i="3"/>
  <c r="G11" i="3"/>
  <c r="G12" i="3"/>
  <c r="G13" i="3"/>
  <c r="G22" i="3"/>
  <c r="E6" i="3"/>
  <c r="E4" i="3"/>
  <c r="E10" i="3"/>
  <c r="E11" i="3"/>
  <c r="E12" i="3"/>
  <c r="E13" i="3"/>
  <c r="E22" i="3"/>
  <c r="F6" i="3"/>
  <c r="F4" i="3"/>
  <c r="F10" i="3"/>
  <c r="F11" i="3"/>
  <c r="F12" i="3"/>
  <c r="F13" i="3"/>
  <c r="F22" i="3"/>
  <c r="H6" i="3"/>
  <c r="H4" i="3"/>
  <c r="H10" i="3"/>
  <c r="H11" i="3"/>
  <c r="H12" i="3"/>
  <c r="H13" i="3"/>
  <c r="H22" i="3"/>
  <c r="I6" i="3"/>
  <c r="I4" i="3"/>
  <c r="I10" i="3"/>
  <c r="I11" i="3"/>
  <c r="I12" i="3"/>
  <c r="I13" i="3"/>
  <c r="I22" i="3"/>
  <c r="J6" i="3"/>
  <c r="J4" i="3"/>
  <c r="J10" i="3"/>
  <c r="J11" i="3"/>
  <c r="J12" i="3"/>
  <c r="J13" i="3"/>
  <c r="J22" i="3"/>
  <c r="K6" i="3"/>
  <c r="K4" i="3"/>
  <c r="K10" i="3"/>
  <c r="K11" i="3"/>
  <c r="K12" i="3"/>
  <c r="K13" i="3"/>
  <c r="K22" i="3"/>
  <c r="L22" i="3"/>
  <c r="M22" i="3"/>
  <c r="M24" i="3"/>
  <c r="L24" i="3"/>
  <c r="L4" i="3"/>
  <c r="L15" i="3"/>
  <c r="L23" i="3"/>
  <c r="L21" i="3"/>
  <c r="L19" i="3"/>
  <c r="F23" i="3"/>
  <c r="G23" i="3"/>
  <c r="H23" i="3"/>
  <c r="I23" i="3"/>
  <c r="J23" i="3"/>
  <c r="K23" i="3"/>
  <c r="E23" i="3"/>
  <c r="R4" i="3"/>
  <c r="R5" i="3"/>
  <c r="R6" i="3"/>
  <c r="R7" i="3"/>
  <c r="R8" i="3"/>
  <c r="R10" i="3"/>
  <c r="R11" i="3"/>
  <c r="R12" i="3"/>
  <c r="S4" i="3"/>
  <c r="S5" i="3"/>
  <c r="S6" i="3"/>
  <c r="S7" i="3"/>
  <c r="S8" i="3"/>
  <c r="S10" i="3"/>
  <c r="S11" i="3"/>
  <c r="S12" i="3"/>
  <c r="T4" i="3"/>
  <c r="T5" i="3"/>
  <c r="T6" i="3"/>
  <c r="T7" i="3"/>
  <c r="T8" i="3"/>
  <c r="T10" i="3"/>
  <c r="T11" i="3"/>
  <c r="T12" i="3"/>
  <c r="U4" i="3"/>
  <c r="U5" i="3"/>
  <c r="U6" i="3"/>
  <c r="U7" i="3"/>
  <c r="U8" i="3"/>
  <c r="U10" i="3"/>
  <c r="U11" i="3"/>
  <c r="U12" i="3"/>
  <c r="V4" i="3"/>
  <c r="V5" i="3"/>
  <c r="V6" i="3"/>
  <c r="V7" i="3"/>
  <c r="V8" i="3"/>
  <c r="V10" i="3"/>
  <c r="V11" i="3"/>
  <c r="V12" i="3"/>
  <c r="W4" i="3"/>
  <c r="W5" i="3"/>
  <c r="W6" i="3"/>
  <c r="W7" i="3"/>
  <c r="W8" i="3"/>
  <c r="W10" i="3"/>
  <c r="W11" i="3"/>
  <c r="W12" i="3"/>
  <c r="Q4" i="3"/>
  <c r="Q5" i="3"/>
  <c r="Q6" i="3"/>
  <c r="Q7" i="3"/>
  <c r="Q8" i="3"/>
  <c r="Q10" i="3"/>
  <c r="Q11" i="3"/>
  <c r="Q12" i="3"/>
  <c r="F5" i="3"/>
  <c r="G5" i="3"/>
  <c r="H5" i="3"/>
  <c r="I5" i="3"/>
  <c r="J5" i="3"/>
  <c r="K5" i="3"/>
  <c r="E5" i="3"/>
  <c r="U34" i="5"/>
  <c r="U35" i="5"/>
  <c r="U36" i="5"/>
  <c r="U37" i="5"/>
  <c r="U38" i="5"/>
  <c r="U39" i="5"/>
  <c r="U40" i="5"/>
  <c r="U41" i="5"/>
  <c r="U33" i="5"/>
  <c r="U24" i="5"/>
  <c r="U25" i="5"/>
  <c r="U26" i="5"/>
  <c r="U27" i="5"/>
  <c r="U28" i="5"/>
  <c r="U29" i="5"/>
  <c r="U30" i="5"/>
  <c r="U31" i="5"/>
  <c r="U23" i="5"/>
  <c r="U14" i="5"/>
  <c r="U15" i="5"/>
  <c r="U16" i="5"/>
  <c r="U17" i="5"/>
  <c r="U18" i="5"/>
  <c r="U19" i="5"/>
  <c r="U20" i="5"/>
  <c r="U21" i="5"/>
  <c r="U13" i="5"/>
  <c r="U11" i="5"/>
  <c r="U4" i="5"/>
  <c r="U5" i="5"/>
  <c r="U6" i="5"/>
  <c r="U7" i="5"/>
  <c r="U8" i="5"/>
  <c r="U9" i="5"/>
  <c r="U10" i="5"/>
  <c r="U3" i="5"/>
  <c r="E30" i="6"/>
  <c r="F30" i="6"/>
  <c r="G30" i="6"/>
  <c r="H30" i="6"/>
  <c r="I30" i="6"/>
  <c r="J30" i="6"/>
  <c r="E8" i="6"/>
  <c r="F8" i="6"/>
  <c r="G8" i="6"/>
  <c r="H8" i="6"/>
  <c r="I8" i="6"/>
  <c r="J8" i="6"/>
  <c r="D8" i="6"/>
  <c r="E19" i="6"/>
  <c r="E22" i="6"/>
  <c r="E24" i="6"/>
  <c r="E28" i="6"/>
  <c r="F19" i="6"/>
  <c r="F22" i="6"/>
  <c r="F24" i="6"/>
  <c r="F28" i="6"/>
  <c r="G19" i="6"/>
  <c r="G22" i="6"/>
  <c r="G24" i="6"/>
  <c r="G28" i="6"/>
  <c r="H19" i="6"/>
  <c r="H22" i="6"/>
  <c r="H24" i="6"/>
  <c r="H28" i="6"/>
  <c r="I19" i="6"/>
  <c r="I22" i="6"/>
  <c r="I24" i="6"/>
  <c r="I28" i="6"/>
  <c r="J19" i="6"/>
  <c r="J22" i="6"/>
  <c r="J24" i="6"/>
  <c r="J28" i="6"/>
  <c r="D19" i="6"/>
  <c r="D22" i="6"/>
  <c r="D24" i="6"/>
  <c r="D28" i="6"/>
  <c r="T96" i="5"/>
  <c r="T74" i="5"/>
  <c r="T75" i="5"/>
  <c r="T76" i="5"/>
  <c r="T77" i="5"/>
  <c r="T78" i="5"/>
  <c r="T79" i="5"/>
  <c r="T80" i="5"/>
  <c r="T81" i="5"/>
  <c r="T73" i="5"/>
  <c r="T71" i="5"/>
  <c r="T64" i="5"/>
  <c r="T65" i="5"/>
  <c r="T66" i="5"/>
  <c r="T67" i="5"/>
  <c r="T68" i="5"/>
  <c r="T69" i="5"/>
  <c r="T70" i="5"/>
  <c r="T63" i="5"/>
  <c r="T54" i="5"/>
  <c r="T55" i="5"/>
  <c r="T56" i="5"/>
  <c r="T57" i="5"/>
  <c r="T58" i="5"/>
  <c r="T59" i="5"/>
  <c r="T60" i="5"/>
  <c r="T61" i="5"/>
  <c r="T53" i="5"/>
  <c r="T44" i="5"/>
  <c r="T45" i="5"/>
  <c r="T46" i="5"/>
  <c r="T47" i="5"/>
  <c r="T48" i="5"/>
  <c r="T49" i="5"/>
  <c r="T50" i="5"/>
  <c r="T51" i="5"/>
  <c r="T43" i="5"/>
  <c r="T34" i="5"/>
  <c r="T35" i="5"/>
  <c r="T36" i="5"/>
  <c r="T37" i="5"/>
  <c r="T38" i="5"/>
  <c r="T39" i="5"/>
  <c r="T40" i="5"/>
  <c r="T41" i="5"/>
  <c r="T33" i="5"/>
  <c r="T14" i="5"/>
  <c r="T15" i="5"/>
  <c r="T16" i="5"/>
  <c r="T17" i="5"/>
  <c r="T18" i="5"/>
  <c r="T19" i="5"/>
  <c r="T20" i="5"/>
  <c r="T21" i="5"/>
  <c r="T13" i="5"/>
  <c r="T4" i="5"/>
  <c r="T5" i="5"/>
  <c r="T6" i="5"/>
  <c r="T7" i="5"/>
  <c r="T8" i="5"/>
  <c r="T9" i="5"/>
  <c r="T10" i="5"/>
  <c r="T11" i="5"/>
  <c r="T3" i="5"/>
  <c r="T23" i="5"/>
  <c r="T24" i="5"/>
  <c r="T25" i="5"/>
  <c r="T26" i="5"/>
  <c r="T27" i="5"/>
  <c r="T28" i="5"/>
  <c r="T29" i="5"/>
  <c r="T30" i="5"/>
  <c r="T31" i="5"/>
  <c r="S104" i="5"/>
  <c r="S105" i="5"/>
  <c r="S106" i="5"/>
  <c r="S107" i="5"/>
  <c r="S108" i="5"/>
  <c r="S109" i="5"/>
  <c r="S110" i="5"/>
  <c r="S111" i="5"/>
  <c r="S91" i="5"/>
  <c r="S82" i="5"/>
  <c r="S62" i="5"/>
  <c r="S52" i="5"/>
  <c r="S42" i="5"/>
  <c r="S32" i="5"/>
  <c r="S22" i="5"/>
  <c r="S12" i="5"/>
  <c r="R91" i="5"/>
  <c r="R90" i="5"/>
  <c r="R89" i="5"/>
  <c r="R88" i="5"/>
  <c r="R87" i="5"/>
  <c r="R86" i="5"/>
  <c r="R85" i="5"/>
  <c r="R84" i="5"/>
  <c r="R83" i="5"/>
  <c r="R81" i="5"/>
  <c r="R80" i="5"/>
  <c r="R79" i="5"/>
  <c r="R78" i="5"/>
  <c r="R77" i="5"/>
  <c r="R76" i="5"/>
  <c r="R75" i="5"/>
  <c r="R74" i="5"/>
  <c r="R73" i="5"/>
  <c r="R71" i="5"/>
  <c r="R70" i="5"/>
  <c r="R69" i="5"/>
  <c r="R68" i="5"/>
  <c r="R67" i="5"/>
  <c r="R66" i="5"/>
  <c r="R65" i="5"/>
  <c r="R64" i="5"/>
  <c r="R63" i="5"/>
  <c r="R61" i="5"/>
  <c r="R60" i="5"/>
  <c r="R59" i="5"/>
  <c r="R58" i="5"/>
  <c r="R57" i="5"/>
  <c r="R56" i="5"/>
  <c r="R55" i="5"/>
  <c r="R54" i="5"/>
  <c r="R53" i="5"/>
  <c r="R51" i="5"/>
  <c r="R50" i="5"/>
  <c r="R49" i="5"/>
  <c r="R48" i="5"/>
  <c r="R47" i="5"/>
  <c r="R46" i="5"/>
  <c r="R45" i="5"/>
  <c r="R44" i="5"/>
  <c r="R43" i="5"/>
  <c r="R41" i="5"/>
  <c r="R40" i="5"/>
  <c r="R39" i="5"/>
  <c r="R38" i="5"/>
  <c r="R37" i="5"/>
  <c r="R36" i="5"/>
  <c r="R35" i="5"/>
  <c r="R34" i="5"/>
  <c r="R33" i="5"/>
  <c r="R31" i="5"/>
  <c r="R30" i="5"/>
  <c r="R29" i="5"/>
  <c r="R28" i="5"/>
  <c r="R27" i="5"/>
  <c r="R26" i="5"/>
  <c r="R25" i="5"/>
  <c r="R24" i="5"/>
  <c r="R23" i="5"/>
  <c r="R21" i="5"/>
  <c r="R20" i="5"/>
  <c r="R19" i="5"/>
  <c r="R18" i="5"/>
  <c r="R17" i="5"/>
  <c r="R16" i="5"/>
  <c r="R15" i="5"/>
  <c r="R14" i="5"/>
  <c r="R13" i="5"/>
  <c r="R3" i="5"/>
  <c r="R4" i="5"/>
  <c r="R5" i="5"/>
  <c r="R6" i="5"/>
  <c r="R7" i="5"/>
  <c r="R8" i="5"/>
  <c r="R9" i="5"/>
  <c r="R10" i="5"/>
  <c r="R11" i="5"/>
  <c r="R104" i="5"/>
  <c r="R105" i="5"/>
  <c r="R106" i="5"/>
  <c r="R107" i="5"/>
  <c r="R108" i="5"/>
  <c r="R109" i="5"/>
  <c r="R110" i="5"/>
  <c r="R111" i="5"/>
  <c r="R82" i="5"/>
  <c r="R72" i="5"/>
  <c r="R62" i="5"/>
  <c r="R52" i="5"/>
  <c r="R42" i="5"/>
  <c r="R32" i="5"/>
  <c r="R22" i="5"/>
  <c r="R12" i="5"/>
  <c r="R95" i="5"/>
  <c r="R96" i="5"/>
  <c r="R97" i="5"/>
  <c r="R98" i="5"/>
  <c r="R99" i="5"/>
  <c r="R100" i="5"/>
  <c r="R101" i="5"/>
  <c r="R94" i="5"/>
  <c r="G104" i="5"/>
  <c r="H104" i="5"/>
  <c r="I104" i="5"/>
  <c r="J104" i="5"/>
  <c r="K104" i="5"/>
  <c r="L104" i="5"/>
  <c r="M104" i="5"/>
  <c r="N104" i="5"/>
  <c r="O104" i="5"/>
  <c r="P104" i="5"/>
  <c r="Q104" i="5"/>
  <c r="G105" i="5"/>
  <c r="H105" i="5"/>
  <c r="I105" i="5"/>
  <c r="J105" i="5"/>
  <c r="K105" i="5"/>
  <c r="L105" i="5"/>
  <c r="M105" i="5"/>
  <c r="N105" i="5"/>
  <c r="O105" i="5"/>
  <c r="P105" i="5"/>
  <c r="Q105" i="5"/>
  <c r="G106" i="5"/>
  <c r="H106" i="5"/>
  <c r="I106" i="5"/>
  <c r="J106" i="5"/>
  <c r="K106" i="5"/>
  <c r="L106" i="5"/>
  <c r="M106" i="5"/>
  <c r="N106" i="5"/>
  <c r="O106" i="5"/>
  <c r="P106" i="5"/>
  <c r="Q106" i="5"/>
  <c r="G107" i="5"/>
  <c r="H107" i="5"/>
  <c r="I107" i="5"/>
  <c r="J107" i="5"/>
  <c r="K107" i="5"/>
  <c r="L107" i="5"/>
  <c r="M107" i="5"/>
  <c r="N107" i="5"/>
  <c r="O107" i="5"/>
  <c r="P107" i="5"/>
  <c r="Q107" i="5"/>
  <c r="G108" i="5"/>
  <c r="H108" i="5"/>
  <c r="I108" i="5"/>
  <c r="J108" i="5"/>
  <c r="K108" i="5"/>
  <c r="L108" i="5"/>
  <c r="M108" i="5"/>
  <c r="N108" i="5"/>
  <c r="O108" i="5"/>
  <c r="P108" i="5"/>
  <c r="Q108" i="5"/>
  <c r="G109" i="5"/>
  <c r="H109" i="5"/>
  <c r="I109" i="5"/>
  <c r="J109" i="5"/>
  <c r="K109" i="5"/>
  <c r="L109" i="5"/>
  <c r="M109" i="5"/>
  <c r="N109" i="5"/>
  <c r="O109" i="5"/>
  <c r="P109" i="5"/>
  <c r="Q109" i="5"/>
  <c r="G110" i="5"/>
  <c r="H110" i="5"/>
  <c r="I110" i="5"/>
  <c r="J110" i="5"/>
  <c r="K110" i="5"/>
  <c r="L110" i="5"/>
  <c r="M110" i="5"/>
  <c r="N110" i="5"/>
  <c r="O110" i="5"/>
  <c r="P110" i="5"/>
  <c r="Q110" i="5"/>
  <c r="G111" i="5"/>
  <c r="H111" i="5"/>
  <c r="I111" i="5"/>
  <c r="J111" i="5"/>
  <c r="K111" i="5"/>
  <c r="L111" i="5"/>
  <c r="M111" i="5"/>
  <c r="N111" i="5"/>
  <c r="O111" i="5"/>
  <c r="P111" i="5"/>
  <c r="Q111" i="5"/>
  <c r="F111" i="5"/>
  <c r="F110" i="5"/>
  <c r="F109" i="5"/>
  <c r="F108" i="5"/>
  <c r="F107" i="5"/>
  <c r="F106" i="5"/>
  <c r="F105" i="5"/>
  <c r="F104" i="5"/>
  <c r="Q82" i="5"/>
  <c r="P82" i="5"/>
  <c r="O82" i="5"/>
  <c r="N82" i="5"/>
  <c r="M82" i="5"/>
  <c r="L82" i="5"/>
  <c r="K82" i="5"/>
  <c r="J82" i="5"/>
  <c r="I82" i="5"/>
  <c r="H82" i="5"/>
  <c r="G82" i="5"/>
  <c r="F82" i="5"/>
  <c r="Q72" i="5"/>
  <c r="P72" i="5"/>
  <c r="O72" i="5"/>
  <c r="N72" i="5"/>
  <c r="M72" i="5"/>
  <c r="L72" i="5"/>
  <c r="K72" i="5"/>
  <c r="J72" i="5"/>
  <c r="I72" i="5"/>
  <c r="H72" i="5"/>
  <c r="G72" i="5"/>
  <c r="F72" i="5"/>
  <c r="Q62" i="5"/>
  <c r="P62" i="5"/>
  <c r="O62" i="5"/>
  <c r="N62" i="5"/>
  <c r="M62" i="5"/>
  <c r="L62" i="5"/>
  <c r="K62" i="5"/>
  <c r="J62" i="5"/>
  <c r="I62" i="5"/>
  <c r="H62" i="5"/>
  <c r="G62" i="5"/>
  <c r="F62" i="5"/>
  <c r="Q52" i="5"/>
  <c r="P52" i="5"/>
  <c r="O52" i="5"/>
  <c r="N52" i="5"/>
  <c r="M52" i="5"/>
  <c r="L52" i="5"/>
  <c r="K52" i="5"/>
  <c r="J52" i="5"/>
  <c r="I52" i="5"/>
  <c r="H52" i="5"/>
  <c r="G52" i="5"/>
  <c r="F52" i="5"/>
  <c r="Q42" i="5"/>
  <c r="P42" i="5"/>
  <c r="O42" i="5"/>
  <c r="N42" i="5"/>
  <c r="M42" i="5"/>
  <c r="L42" i="5"/>
  <c r="K42" i="5"/>
  <c r="J42" i="5"/>
  <c r="I42" i="5"/>
  <c r="H42" i="5"/>
  <c r="G42" i="5"/>
  <c r="F42" i="5"/>
  <c r="Q32" i="5"/>
  <c r="P32" i="5"/>
  <c r="O32" i="5"/>
  <c r="N32" i="5"/>
  <c r="M32" i="5"/>
  <c r="L32" i="5"/>
  <c r="K32" i="5"/>
  <c r="J32" i="5"/>
  <c r="I32" i="5"/>
  <c r="H32" i="5"/>
  <c r="G32" i="5"/>
  <c r="F32" i="5"/>
  <c r="Q22" i="5"/>
  <c r="P22" i="5"/>
  <c r="O22" i="5"/>
  <c r="N22" i="5"/>
  <c r="M22" i="5"/>
  <c r="L22" i="5"/>
  <c r="K22" i="5"/>
  <c r="J22" i="5"/>
  <c r="I22" i="5"/>
  <c r="H22" i="5"/>
  <c r="G22" i="5"/>
  <c r="F22" i="5"/>
  <c r="G12" i="5"/>
  <c r="H12" i="5"/>
  <c r="I12" i="5"/>
  <c r="J12" i="5"/>
  <c r="K12" i="5"/>
  <c r="L12" i="5"/>
  <c r="M12" i="5"/>
  <c r="N12" i="5"/>
  <c r="O12" i="5"/>
  <c r="P12" i="5"/>
  <c r="Q12" i="5"/>
  <c r="F12" i="5"/>
  <c r="L41" i="2"/>
  <c r="M41" i="2"/>
  <c r="L42" i="2"/>
  <c r="M42" i="2"/>
  <c r="L43" i="2"/>
  <c r="M43" i="2"/>
  <c r="K42" i="2"/>
  <c r="K43" i="2"/>
  <c r="K41" i="2"/>
  <c r="I41" i="2"/>
  <c r="J41" i="2"/>
  <c r="I42" i="2"/>
  <c r="J42" i="2"/>
  <c r="I43" i="2"/>
  <c r="J43" i="2"/>
  <c r="H43" i="2"/>
  <c r="H42" i="2"/>
  <c r="H41" i="2"/>
  <c r="F41" i="2"/>
  <c r="G41" i="2"/>
  <c r="F42" i="2"/>
  <c r="G42" i="2"/>
  <c r="F43" i="2"/>
  <c r="G43" i="2"/>
  <c r="E43" i="2"/>
  <c r="E42" i="2"/>
  <c r="E41" i="2"/>
  <c r="H20" i="1"/>
  <c r="F59" i="1"/>
  <c r="D56" i="1"/>
  <c r="D57" i="1"/>
  <c r="D58" i="1"/>
  <c r="D59" i="1"/>
  <c r="F58" i="1"/>
  <c r="D60" i="1"/>
  <c r="D61" i="1"/>
  <c r="F60" i="1"/>
  <c r="F21" i="3"/>
  <c r="G21" i="3"/>
  <c r="H21" i="3"/>
  <c r="I21" i="3"/>
  <c r="J21" i="3"/>
  <c r="K21" i="3"/>
  <c r="E21" i="3"/>
</calcChain>
</file>

<file path=xl/sharedStrings.xml><?xml version="1.0" encoding="utf-8"?>
<sst xmlns="http://schemas.openxmlformats.org/spreadsheetml/2006/main" count="651" uniqueCount="202">
  <si>
    <t xml:space="preserve">Kiosk </t>
  </si>
  <si>
    <t xml:space="preserve">Prénoms &amp; Noms </t>
  </si>
  <si>
    <t>Poste occupé</t>
  </si>
  <si>
    <t>2019 Salaries</t>
  </si>
  <si>
    <t>Cabaret</t>
  </si>
  <si>
    <t>Wilkien THOMAS</t>
  </si>
  <si>
    <t>Jean-Watson Derival</t>
  </si>
  <si>
    <t>Assistant</t>
  </si>
  <si>
    <t>Joseph Stanley Altidor</t>
  </si>
  <si>
    <t>Yvelt Constant</t>
  </si>
  <si>
    <t xml:space="preserve">Davidson François </t>
  </si>
  <si>
    <t>Kedlito TELUSMA</t>
  </si>
  <si>
    <t>Chauffeur de moto</t>
  </si>
  <si>
    <t>Jean Richard CLERMONT</t>
  </si>
  <si>
    <t>Chauffeur de Moto</t>
  </si>
  <si>
    <t>Robeson WILLIAM</t>
  </si>
  <si>
    <t>Gardien</t>
  </si>
  <si>
    <t>Corail</t>
  </si>
  <si>
    <t>Rouby MARCELUS</t>
  </si>
  <si>
    <t>Water Quality Technician</t>
  </si>
  <si>
    <t>Jean Remy PIERRE</t>
  </si>
  <si>
    <t>Jean JEAN MARY</t>
  </si>
  <si>
    <t xml:space="preserve">Jude Moise </t>
  </si>
  <si>
    <t>Courjolles</t>
  </si>
  <si>
    <t>Pierre Jenks Levelt LAMARRE</t>
  </si>
  <si>
    <t>Ferrier</t>
  </si>
  <si>
    <t>Micanord Volvick</t>
  </si>
  <si>
    <t>Limonade</t>
  </si>
  <si>
    <t>Phaniel Mesidor</t>
  </si>
  <si>
    <t>Operator</t>
  </si>
  <si>
    <t>Alain JEAN</t>
  </si>
  <si>
    <t>Dulin BIEN AIME</t>
  </si>
  <si>
    <t>Lovely JEAN</t>
  </si>
  <si>
    <t>Kiosk Manager</t>
  </si>
  <si>
    <t>Ouanaminthe</t>
  </si>
  <si>
    <t>Elysée Jean Baptiste</t>
  </si>
  <si>
    <t>Enock Beliard</t>
  </si>
  <si>
    <t>Driver</t>
  </si>
  <si>
    <t>Dupond Metellus</t>
  </si>
  <si>
    <t>Wisly Liceus</t>
  </si>
  <si>
    <t>Quartier Morin</t>
  </si>
  <si>
    <t>Sendie FILS-AIME</t>
  </si>
  <si>
    <t>Walky Augustin</t>
  </si>
  <si>
    <t>Aniel Joseph</t>
  </si>
  <si>
    <t xml:space="preserve">Guimps PETIT-FRERE </t>
  </si>
  <si>
    <t>Alexis MONDESIR</t>
  </si>
  <si>
    <t>Saintard</t>
  </si>
  <si>
    <t>Daniel MICHAUD</t>
  </si>
  <si>
    <t>Chenet PIERRE</t>
  </si>
  <si>
    <t>Solail JEAN BAPTISTE</t>
  </si>
  <si>
    <t>Junior CHARLES</t>
  </si>
  <si>
    <t>Pierre Vens LOUISSAINT</t>
  </si>
  <si>
    <t>Pierre Kenold CASSEUS</t>
  </si>
  <si>
    <t>Santo19</t>
  </si>
  <si>
    <t>Marie Myrtha DENAU</t>
  </si>
  <si>
    <t>Fabienne Simon</t>
  </si>
  <si>
    <t>Manager</t>
  </si>
  <si>
    <t>Mickelson Antoine</t>
  </si>
  <si>
    <t>Venol CINEUS</t>
  </si>
  <si>
    <t>Regional 1</t>
  </si>
  <si>
    <t>Sophonie SIMERVIL</t>
  </si>
  <si>
    <t>Acting Regional Manager</t>
  </si>
  <si>
    <t>Jean Nickenson ANTOINE</t>
  </si>
  <si>
    <t>Nickenson Pierre Louis</t>
  </si>
  <si>
    <t>Chauffeur</t>
  </si>
  <si>
    <t>Regional 2</t>
  </si>
  <si>
    <t>Magdalena Noel</t>
  </si>
  <si>
    <t xml:space="preserve">Regional Manager </t>
  </si>
  <si>
    <t>Guy PIVERGE</t>
  </si>
  <si>
    <t>Field Technician</t>
  </si>
  <si>
    <t>HQ</t>
  </si>
  <si>
    <t>Jean Rene LAMOUR</t>
  </si>
  <si>
    <t xml:space="preserve">Field Technician </t>
  </si>
  <si>
    <t>Woodlee ABELARD</t>
  </si>
  <si>
    <t>Water Quality and Technical Manager</t>
  </si>
  <si>
    <t>Cleaner</t>
  </si>
  <si>
    <t>Marco Mirvil SAJUSTE</t>
  </si>
  <si>
    <t>Head Driver</t>
  </si>
  <si>
    <t>Fritz JEAN PIERRE</t>
  </si>
  <si>
    <t>Colson JEAN PAUL</t>
  </si>
  <si>
    <t>Driver (Unilever)</t>
  </si>
  <si>
    <t>Arden's Hansley CHERELUS</t>
  </si>
  <si>
    <t>Operations &amp; Facilities Manager</t>
  </si>
  <si>
    <t>Samuel CHARLES</t>
  </si>
  <si>
    <t>Aasson Alellandro FANFAN</t>
  </si>
  <si>
    <t>Sales Lead</t>
  </si>
  <si>
    <t xml:space="preserve">Monero </t>
  </si>
  <si>
    <t>Finance Analyst</t>
  </si>
  <si>
    <t>Total HQ</t>
  </si>
  <si>
    <t xml:space="preserve">Total Regional </t>
  </si>
  <si>
    <t>Total Sites</t>
  </si>
  <si>
    <t>Total US</t>
  </si>
  <si>
    <t>Total</t>
  </si>
  <si>
    <t>Total Gourde</t>
  </si>
  <si>
    <t>KPI</t>
  </si>
  <si>
    <t>Site</t>
  </si>
  <si>
    <t>Site Employees</t>
  </si>
  <si>
    <t>KPIs</t>
  </si>
  <si>
    <t>Water Volume</t>
  </si>
  <si>
    <t>DLM Volume</t>
  </si>
  <si>
    <t>Total Distributeurs</t>
  </si>
  <si>
    <t>Distributuer Volume/Trike Fuel</t>
  </si>
  <si>
    <t>Up-days</t>
  </si>
  <si>
    <t>Wastage</t>
  </si>
  <si>
    <t>Regional Employees</t>
  </si>
  <si>
    <t>Milk Sacks</t>
  </si>
  <si>
    <t>HQ Employee</t>
  </si>
  <si>
    <t>P&amp;L</t>
  </si>
  <si>
    <t>Milk Sales</t>
  </si>
  <si>
    <t>Complete Data</t>
  </si>
  <si>
    <t>Field Tasks complete</t>
  </si>
  <si>
    <t>?????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</si>
  <si>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</si>
  <si>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</si>
  <si>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</si>
  <si>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</si>
  <si>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</si>
  <si>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</si>
  <si>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</si>
  <si>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</si>
  <si>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</si>
  <si>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</si>
  <si>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</si>
  <si>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Bois9</t>
  </si>
  <si>
    <t>TOTAL</t>
  </si>
  <si>
    <t>KPI: Water Volume</t>
  </si>
  <si>
    <t>KPI: Milk Volume</t>
  </si>
  <si>
    <t>Region 1</t>
  </si>
  <si>
    <t>Region 2</t>
  </si>
  <si>
    <t>KPI BONUS Structure</t>
  </si>
  <si>
    <t>d</t>
  </si>
  <si>
    <t>April KPI</t>
  </si>
  <si>
    <t>Sonise</t>
  </si>
  <si>
    <t>Milk Sack</t>
  </si>
  <si>
    <t>DLM Water Delivered Commitment</t>
  </si>
  <si>
    <t>TOTAL 12 MONTHS</t>
  </si>
  <si>
    <t>av. gallons/DA</t>
  </si>
  <si>
    <t>April Bonus</t>
  </si>
  <si>
    <t>KPIS</t>
  </si>
  <si>
    <t>Distributeurs</t>
  </si>
  <si>
    <t>Uptime</t>
  </si>
  <si>
    <t>Milk Volume</t>
  </si>
  <si>
    <t>All KPIs</t>
  </si>
  <si>
    <t>Milk Volume (Sacs)</t>
  </si>
  <si>
    <t>Budget</t>
  </si>
  <si>
    <t>Percentage</t>
  </si>
  <si>
    <t>Team KPIs</t>
  </si>
  <si>
    <t>Cost Category</t>
  </si>
  <si>
    <t>Cost Sub-Category</t>
  </si>
  <si>
    <t>Production</t>
  </si>
  <si>
    <t>Fuel</t>
  </si>
  <si>
    <t xml:space="preserve">Operational Consumables </t>
  </si>
  <si>
    <t>Transport</t>
  </si>
  <si>
    <t>Vehicle Repair/Maintenance</t>
  </si>
  <si>
    <t>Operating</t>
  </si>
  <si>
    <t>General Supplies</t>
  </si>
  <si>
    <t>General Maintenance</t>
  </si>
  <si>
    <t>Staff</t>
  </si>
  <si>
    <t>Backup Staff from HQ</t>
  </si>
  <si>
    <t>Other</t>
  </si>
  <si>
    <t>Volume</t>
  </si>
  <si>
    <t xml:space="preserve">DLM </t>
  </si>
  <si>
    <t>Goals</t>
  </si>
  <si>
    <t>Salary</t>
  </si>
  <si>
    <t>Assumptions</t>
  </si>
  <si>
    <t>Caps/Stickers</t>
  </si>
  <si>
    <t>Site Costs</t>
  </si>
  <si>
    <t>Total Salaries</t>
  </si>
  <si>
    <t>Total Expenses</t>
  </si>
  <si>
    <t>Break-even Volume</t>
  </si>
  <si>
    <t>Revenue-Expenses</t>
  </si>
  <si>
    <t>Revenue</t>
  </si>
  <si>
    <t>$/Gallon</t>
  </si>
  <si>
    <t>Minimum Goal</t>
  </si>
  <si>
    <t>Mimimun</t>
  </si>
  <si>
    <t>Actual Volume</t>
  </si>
  <si>
    <t>Total Margin</t>
  </si>
  <si>
    <t>Gourde Per Jug</t>
  </si>
  <si>
    <t>Reach Goal</t>
  </si>
  <si>
    <t>Reach Minimum</t>
  </si>
  <si>
    <t>Set number</t>
  </si>
  <si>
    <t>After Goal</t>
  </si>
  <si>
    <t>Total Bonus</t>
  </si>
  <si>
    <t>Margin Percentage</t>
  </si>
  <si>
    <t>Total Margin after Bonus</t>
  </si>
  <si>
    <t>Goal Values</t>
  </si>
  <si>
    <t>US$</t>
  </si>
  <si>
    <t>Difference</t>
  </si>
  <si>
    <t>Margin Percentage after Bonus</t>
  </si>
  <si>
    <t>Bonus Structure</t>
  </si>
  <si>
    <t>Employees</t>
  </si>
  <si>
    <t>Trike Bonus</t>
  </si>
  <si>
    <t>Employee</t>
  </si>
  <si>
    <t>Maintenance 1</t>
  </si>
  <si>
    <t>Maintenance 2</t>
  </si>
  <si>
    <t>Maintenance 3</t>
  </si>
  <si>
    <t>Maintenance 4</t>
  </si>
  <si>
    <t>Trikes</t>
  </si>
  <si>
    <t>Sites</t>
  </si>
  <si>
    <t>April Trikes in P1</t>
  </si>
  <si>
    <t>US Total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</si>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</sst>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_-* #,##0\ _€_-;\-* #,##0\ _€_-;_-* &quot;-&quot;??\ _€_-;_-@"/>
    <numFmt numFmtId="167" formatCode="0.0"/>
    <numFmt numFmtId="168" formatCode="&quot;$&quot;#,##0"/>
    <numFmt numFmtId="169" formatCode="&quot;$&quot;#,##0.00"/>
    <numFmt numFmtId="170" formatCode="[$-409]mmm\-yy;@"/>
    <numFmt numFmtId="171" formatCode="0.000"/>
    <numFmt numFmtId="172" formatCode="_(&quot;$&quot;* #,##0_);_(&quot;$&quot;* \(#,##0\);_(&quot;$&quot;* &quot;-&quot;??_);_(@_)"/>
    <numFmt numFmtId="176" formatCode="_(&quot;$&quot;* #,##0.0_);_(&quot;$&quot;* \(#,##0.0\);_(&quot;$&quot;* &quot;-&quot;??_);_(@_)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Times New Roman"/>
      <family val="1"/>
    </font>
    <font>
      <b/>
      <sz val="10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b/>
      <u/>
      <sz val="10"/>
      <color theme="1"/>
      <name val="Open Sans"/>
    </font>
    <font>
      <sz val="10"/>
      <color theme="1"/>
      <name val="Open Sans"/>
      <family val="2"/>
    </font>
    <font>
      <sz val="12"/>
      <color theme="1"/>
      <name val="Calibri"/>
      <family val="2"/>
      <scheme val="minor"/>
    </font>
    <font>
      <sz val="10"/>
      <color rgb="FF3333FF"/>
      <name val="Open Sans"/>
      <family val="2"/>
    </font>
    <font>
      <b/>
      <sz val="10"/>
      <color theme="1"/>
      <name val="Open Sans"/>
    </font>
    <font>
      <b/>
      <sz val="10"/>
      <color theme="1"/>
      <name val="Open Sans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2"/>
      <color rgb="FF000000"/>
      <name val="Calibri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</font>
    <font>
      <i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u/>
      <sz val="1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sz val="10"/>
      <color theme="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theme="5"/>
      </left>
      <right style="thin">
        <color auto="1"/>
      </right>
      <top style="double">
        <color theme="5"/>
      </top>
      <bottom/>
      <diagonal/>
    </border>
    <border>
      <left style="thin">
        <color auto="1"/>
      </left>
      <right style="thin">
        <color auto="1"/>
      </right>
      <top style="double">
        <color theme="5"/>
      </top>
      <bottom/>
      <diagonal/>
    </border>
    <border>
      <left style="double">
        <color theme="5"/>
      </left>
      <right style="thin">
        <color auto="1"/>
      </right>
      <top/>
      <bottom style="double">
        <color theme="5"/>
      </bottom>
      <diagonal/>
    </border>
    <border>
      <left style="thin">
        <color auto="1"/>
      </left>
      <right style="thin">
        <color auto="1"/>
      </right>
      <top/>
      <bottom style="double">
        <color theme="5"/>
      </bottom>
      <diagonal/>
    </border>
    <border>
      <left style="medium">
        <color rgb="FFCCCCCC"/>
      </left>
      <right/>
      <top style="medium">
        <color rgb="FFFFFF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10" fillId="0" borderId="0"/>
    <xf numFmtId="43" fontId="13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0" fontId="3" fillId="0" borderId="0"/>
  </cellStyleXfs>
  <cellXfs count="222">
    <xf numFmtId="0" fontId="0" fillId="0" borderId="0" xfId="0"/>
    <xf numFmtId="0" fontId="4" fillId="0" borderId="1" xfId="3" applyFont="1" applyBorder="1" applyAlignment="1">
      <alignment horizontal="center" vertical="center"/>
    </xf>
    <xf numFmtId="164" fontId="4" fillId="0" borderId="1" xfId="3" applyNumberFormat="1" applyFont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6" fillId="0" borderId="1" xfId="4" applyFont="1" applyBorder="1" applyAlignment="1">
      <alignment vertical="center" wrapText="1"/>
    </xf>
    <xf numFmtId="0" fontId="5" fillId="0" borderId="1" xfId="3" applyFont="1" applyBorder="1" applyAlignment="1">
      <alignment vertical="center"/>
    </xf>
    <xf numFmtId="0" fontId="7" fillId="0" borderId="0" xfId="3" applyFont="1" applyAlignment="1">
      <alignment vertical="center"/>
    </xf>
    <xf numFmtId="0" fontId="5" fillId="0" borderId="0" xfId="3" applyFont="1" applyAlignment="1">
      <alignment vertical="center"/>
    </xf>
    <xf numFmtId="0" fontId="7" fillId="0" borderId="1" xfId="3" applyFont="1" applyBorder="1" applyAlignment="1">
      <alignment vertical="center" wrapText="1"/>
    </xf>
    <xf numFmtId="0" fontId="8" fillId="0" borderId="1" xfId="4" applyFont="1" applyBorder="1" applyAlignment="1">
      <alignment vertical="center" wrapText="1"/>
    </xf>
    <xf numFmtId="0" fontId="7" fillId="0" borderId="1" xfId="3" applyFont="1" applyBorder="1" applyAlignment="1">
      <alignment vertical="center"/>
    </xf>
    <xf numFmtId="0" fontId="7" fillId="0" borderId="1" xfId="4" applyFont="1" applyBorder="1" applyAlignment="1">
      <alignment vertical="center" wrapText="1"/>
    </xf>
    <xf numFmtId="0" fontId="9" fillId="0" borderId="0" xfId="4" applyFont="1" applyAlignment="1">
      <alignment vertical="center"/>
    </xf>
    <xf numFmtId="0" fontId="1" fillId="0" borderId="0" xfId="4"/>
    <xf numFmtId="0" fontId="5" fillId="0" borderId="0" xfId="3" applyFont="1" applyAlignment="1">
      <alignment vertical="center" wrapText="1"/>
    </xf>
    <xf numFmtId="0" fontId="6" fillId="0" borderId="0" xfId="4" applyFont="1" applyAlignment="1">
      <alignment vertical="center" wrapText="1"/>
    </xf>
    <xf numFmtId="0" fontId="5" fillId="0" borderId="0" xfId="3" applyFont="1" applyAlignment="1">
      <alignment horizontal="left" vertical="center" wrapText="1"/>
    </xf>
    <xf numFmtId="3" fontId="7" fillId="0" borderId="1" xfId="3" applyNumberFormat="1" applyFont="1" applyBorder="1" applyAlignment="1">
      <alignment vertical="center" wrapText="1"/>
    </xf>
    <xf numFmtId="3" fontId="5" fillId="0" borderId="1" xfId="3" applyNumberFormat="1" applyFont="1" applyBorder="1" applyAlignment="1">
      <alignment vertical="center"/>
    </xf>
    <xf numFmtId="0" fontId="5" fillId="0" borderId="1" xfId="3" applyFont="1" applyBorder="1" applyAlignment="1">
      <alignment horizontal="left" vertical="center"/>
    </xf>
    <xf numFmtId="10" fontId="6" fillId="0" borderId="1" xfId="4" applyNumberFormat="1" applyFont="1" applyBorder="1" applyAlignment="1">
      <alignment vertical="center" wrapText="1"/>
    </xf>
    <xf numFmtId="0" fontId="7" fillId="0" borderId="1" xfId="3" applyFont="1" applyBorder="1" applyAlignment="1">
      <alignment horizontal="left" vertical="center" wrapText="1"/>
    </xf>
    <xf numFmtId="164" fontId="5" fillId="0" borderId="0" xfId="3" applyNumberFormat="1" applyFont="1" applyAlignment="1">
      <alignment vertical="center"/>
    </xf>
    <xf numFmtId="165" fontId="5" fillId="0" borderId="0" xfId="3" applyNumberFormat="1" applyFont="1" applyAlignment="1">
      <alignment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vertical="center"/>
    </xf>
    <xf numFmtId="164" fontId="5" fillId="2" borderId="1" xfId="3" applyNumberFormat="1" applyFont="1" applyFill="1" applyBorder="1" applyAlignment="1">
      <alignment vertical="center"/>
    </xf>
    <xf numFmtId="166" fontId="5" fillId="2" borderId="1" xfId="3" applyNumberFormat="1" applyFont="1" applyFill="1" applyBorder="1" applyAlignment="1">
      <alignment horizontal="right" vertical="center"/>
    </xf>
    <xf numFmtId="3" fontId="5" fillId="0" borderId="0" xfId="3" applyNumberFormat="1" applyFont="1" applyAlignment="1">
      <alignment vertical="center"/>
    </xf>
    <xf numFmtId="0" fontId="5" fillId="2" borderId="0" xfId="3" applyFont="1" applyFill="1" applyAlignment="1">
      <alignment vertical="center"/>
    </xf>
    <xf numFmtId="0" fontId="5" fillId="0" borderId="0" xfId="3" applyFont="1" applyAlignment="1">
      <alignment horizontal="center" vertical="center"/>
    </xf>
    <xf numFmtId="0" fontId="5" fillId="3" borderId="0" xfId="3" applyFont="1" applyFill="1" applyAlignment="1">
      <alignment vertical="center"/>
    </xf>
    <xf numFmtId="164" fontId="4" fillId="4" borderId="0" xfId="3" applyNumberFormat="1" applyFont="1" applyFill="1" applyAlignment="1">
      <alignment vertical="center"/>
    </xf>
    <xf numFmtId="166" fontId="5" fillId="4" borderId="0" xfId="3" applyNumberFormat="1" applyFont="1" applyFill="1" applyAlignment="1">
      <alignment vertical="center"/>
    </xf>
    <xf numFmtId="0" fontId="11" fillId="0" borderId="0" xfId="5" applyFont="1"/>
    <xf numFmtId="0" fontId="12" fillId="0" borderId="0" xfId="5" applyFont="1"/>
    <xf numFmtId="0" fontId="16" fillId="0" borderId="0" xfId="5" applyFont="1"/>
    <xf numFmtId="0" fontId="15" fillId="0" borderId="0" xfId="5" applyFont="1"/>
    <xf numFmtId="0" fontId="16" fillId="0" borderId="10" xfId="5" applyFont="1" applyBorder="1" applyAlignment="1">
      <alignment horizontal="left" indent="1"/>
    </xf>
    <xf numFmtId="0" fontId="16" fillId="0" borderId="11" xfId="5" applyFont="1" applyBorder="1" applyAlignment="1">
      <alignment horizontal="left" indent="1"/>
    </xf>
    <xf numFmtId="0" fontId="16" fillId="0" borderId="12" xfId="5" applyFont="1" applyBorder="1" applyAlignment="1">
      <alignment horizontal="left" indent="1"/>
    </xf>
    <xf numFmtId="0" fontId="16" fillId="0" borderId="10" xfId="5" applyFont="1" applyBorder="1" applyAlignment="1">
      <alignment horizontal="left" wrapText="1" indent="1"/>
    </xf>
    <xf numFmtId="165" fontId="14" fillId="0" borderId="12" xfId="6" applyNumberFormat="1" applyFont="1" applyBorder="1" applyAlignment="1">
      <alignment horizontal="left" indent="1"/>
    </xf>
    <xf numFmtId="0" fontId="2" fillId="0" borderId="0" xfId="0" applyFont="1"/>
    <xf numFmtId="0" fontId="17" fillId="0" borderId="0" xfId="0" applyFont="1"/>
    <xf numFmtId="0" fontId="16" fillId="0" borderId="0" xfId="5" applyFont="1" applyAlignment="1">
      <alignment horizontal="left" indent="1"/>
    </xf>
    <xf numFmtId="3" fontId="13" fillId="0" borderId="1" xfId="7" applyNumberFormat="1" applyBorder="1" applyAlignment="1">
      <alignment horizontal="center"/>
    </xf>
    <xf numFmtId="3" fontId="13" fillId="0" borderId="17" xfId="7" applyNumberFormat="1" applyBorder="1" applyAlignment="1">
      <alignment horizontal="center"/>
    </xf>
    <xf numFmtId="3" fontId="18" fillId="0" borderId="19" xfId="7" applyNumberFormat="1" applyFont="1" applyBorder="1" applyAlignment="1">
      <alignment horizontal="center"/>
    </xf>
    <xf numFmtId="0" fontId="6" fillId="0" borderId="20" xfId="4" applyFont="1" applyBorder="1" applyAlignment="1">
      <alignment vertical="center" wrapText="1"/>
    </xf>
    <xf numFmtId="0" fontId="20" fillId="0" borderId="20" xfId="4" applyFont="1" applyBorder="1" applyAlignment="1">
      <alignment vertical="center" wrapText="1"/>
    </xf>
    <xf numFmtId="0" fontId="21" fillId="5" borderId="13" xfId="7" applyFont="1" applyFill="1" applyBorder="1"/>
    <xf numFmtId="0" fontId="21" fillId="5" borderId="14" xfId="7" applyFont="1" applyFill="1" applyBorder="1" applyAlignment="1">
      <alignment horizontal="center"/>
    </xf>
    <xf numFmtId="0" fontId="21" fillId="0" borderId="15" xfId="7" applyFont="1" applyBorder="1"/>
    <xf numFmtId="3" fontId="22" fillId="0" borderId="1" xfId="7" applyNumberFormat="1" applyFont="1" applyBorder="1" applyAlignment="1">
      <alignment horizontal="center"/>
    </xf>
    <xf numFmtId="0" fontId="21" fillId="0" borderId="16" xfId="7" applyFont="1" applyBorder="1"/>
    <xf numFmtId="3" fontId="22" fillId="0" borderId="17" xfId="7" applyNumberFormat="1" applyFont="1" applyBorder="1" applyAlignment="1">
      <alignment horizontal="center"/>
    </xf>
    <xf numFmtId="0" fontId="21" fillId="0" borderId="18" xfId="7" applyFont="1" applyBorder="1" applyAlignment="1">
      <alignment horizontal="right"/>
    </xf>
    <xf numFmtId="3" fontId="21" fillId="0" borderId="19" xfId="7" applyNumberFormat="1" applyFont="1" applyBorder="1" applyAlignment="1">
      <alignment horizontal="center"/>
    </xf>
    <xf numFmtId="0" fontId="21" fillId="0" borderId="7" xfId="7" applyFont="1" applyBorder="1"/>
    <xf numFmtId="0" fontId="18" fillId="0" borderId="0" xfId="0" applyFont="1"/>
    <xf numFmtId="165" fontId="14" fillId="0" borderId="0" xfId="6" applyNumberFormat="1" applyFont="1" applyAlignment="1">
      <alignment horizontal="left" indent="1"/>
    </xf>
    <xf numFmtId="0" fontId="5" fillId="0" borderId="1" xfId="3" applyFont="1" applyBorder="1" applyAlignment="1">
      <alignment horizontal="left" vertical="center" wrapText="1"/>
    </xf>
    <xf numFmtId="0" fontId="7" fillId="0" borderId="0" xfId="3" applyFont="1" applyAlignment="1">
      <alignment horizontal="right" vertical="center" indent="1"/>
    </xf>
    <xf numFmtId="0" fontId="5" fillId="0" borderId="0" xfId="3" applyFont="1" applyAlignment="1">
      <alignment horizontal="right" vertical="center" indent="1"/>
    </xf>
    <xf numFmtId="0" fontId="13" fillId="0" borderId="0" xfId="7" applyAlignment="1">
      <alignment horizontal="center"/>
    </xf>
    <xf numFmtId="0" fontId="18" fillId="0" borderId="0" xfId="7" applyFont="1" applyAlignment="1">
      <alignment horizontal="center"/>
    </xf>
    <xf numFmtId="0" fontId="18" fillId="6" borderId="14" xfId="7" applyFont="1" applyFill="1" applyBorder="1" applyAlignment="1">
      <alignment horizontal="center"/>
    </xf>
    <xf numFmtId="0" fontId="18" fillId="6" borderId="21" xfId="7" applyFont="1" applyFill="1" applyBorder="1" applyAlignment="1">
      <alignment horizontal="center" wrapText="1"/>
    </xf>
    <xf numFmtId="3" fontId="18" fillId="0" borderId="22" xfId="7" applyNumberFormat="1" applyFont="1" applyBorder="1" applyAlignment="1">
      <alignment horizontal="center"/>
    </xf>
    <xf numFmtId="3" fontId="18" fillId="0" borderId="23" xfId="7" applyNumberFormat="1" applyFont="1" applyBorder="1" applyAlignment="1">
      <alignment horizontal="center"/>
    </xf>
    <xf numFmtId="0" fontId="0" fillId="0" borderId="4" xfId="0" applyBorder="1"/>
    <xf numFmtId="0" fontId="0" fillId="0" borderId="2" xfId="0" applyBorder="1"/>
    <xf numFmtId="0" fontId="16" fillId="0" borderId="12" xfId="5" applyFont="1" applyBorder="1" applyAlignment="1">
      <alignment horizontal="left" wrapText="1" indent="1"/>
    </xf>
    <xf numFmtId="0" fontId="19" fillId="0" borderId="1" xfId="4" applyFont="1" applyBorder="1" applyAlignment="1">
      <alignment vertical="center" wrapText="1"/>
    </xf>
    <xf numFmtId="0" fontId="22" fillId="0" borderId="0" xfId="7" applyFont="1" applyAlignment="1">
      <alignment horizontal="center"/>
    </xf>
    <xf numFmtId="0" fontId="22" fillId="6" borderId="13" xfId="7" applyFont="1" applyFill="1" applyBorder="1"/>
    <xf numFmtId="0" fontId="22" fillId="6" borderId="14" xfId="7" applyFont="1" applyFill="1" applyBorder="1" applyAlignment="1">
      <alignment horizontal="center"/>
    </xf>
    <xf numFmtId="0" fontId="22" fillId="0" borderId="15" xfId="7" applyFont="1" applyBorder="1"/>
    <xf numFmtId="0" fontId="22" fillId="0" borderId="16" xfId="7" applyFont="1" applyBorder="1"/>
    <xf numFmtId="0" fontId="22" fillId="0" borderId="18" xfId="7" applyFont="1" applyBorder="1" applyAlignment="1">
      <alignment horizontal="right"/>
    </xf>
    <xf numFmtId="3" fontId="22" fillId="0" borderId="19" xfId="7" applyNumberFormat="1" applyFont="1" applyBorder="1" applyAlignment="1">
      <alignment horizontal="center"/>
    </xf>
    <xf numFmtId="0" fontId="22" fillId="0" borderId="0" xfId="0" applyFont="1"/>
    <xf numFmtId="0" fontId="22" fillId="3" borderId="13" xfId="7" applyFont="1" applyFill="1" applyBorder="1"/>
    <xf numFmtId="0" fontId="22" fillId="3" borderId="14" xfId="7" applyFont="1" applyFill="1" applyBorder="1" applyAlignment="1">
      <alignment horizontal="center"/>
    </xf>
    <xf numFmtId="1" fontId="22" fillId="0" borderId="20" xfId="1" applyNumberFormat="1" applyFont="1" applyBorder="1" applyAlignment="1">
      <alignment horizontal="center"/>
    </xf>
    <xf numFmtId="0" fontId="22" fillId="7" borderId="24" xfId="7" applyFont="1" applyFill="1" applyBorder="1" applyAlignment="1">
      <alignment horizontal="right"/>
    </xf>
    <xf numFmtId="1" fontId="22" fillId="7" borderId="25" xfId="7" applyNumberFormat="1" applyFont="1" applyFill="1" applyBorder="1" applyAlignment="1">
      <alignment horizontal="center"/>
    </xf>
    <xf numFmtId="0" fontId="22" fillId="7" borderId="26" xfId="7" applyFont="1" applyFill="1" applyBorder="1" applyAlignment="1">
      <alignment horizontal="right"/>
    </xf>
    <xf numFmtId="1" fontId="22" fillId="7" borderId="27" xfId="7" applyNumberFormat="1" applyFont="1" applyFill="1" applyBorder="1" applyAlignment="1">
      <alignment horizontal="center"/>
    </xf>
    <xf numFmtId="0" fontId="21" fillId="0" borderId="0" xfId="0" applyFont="1"/>
    <xf numFmtId="0" fontId="21" fillId="0" borderId="0" xfId="7" applyFont="1"/>
    <xf numFmtId="0" fontId="23" fillId="0" borderId="0" xfId="3" applyFont="1" applyAlignment="1">
      <alignment horizontal="center" vertical="center"/>
    </xf>
    <xf numFmtId="0" fontId="19" fillId="0" borderId="10" xfId="4" applyFont="1" applyBorder="1" applyAlignment="1">
      <alignment vertical="center" wrapText="1"/>
    </xf>
    <xf numFmtId="0" fontId="2" fillId="0" borderId="10" xfId="0" applyFont="1" applyBorder="1"/>
    <xf numFmtId="0" fontId="2" fillId="0" borderId="10" xfId="0" applyFont="1" applyBorder="1" applyAlignment="1">
      <alignment vertical="center"/>
    </xf>
    <xf numFmtId="0" fontId="15" fillId="0" borderId="10" xfId="5" applyFont="1" applyBorder="1"/>
    <xf numFmtId="9" fontId="16" fillId="0" borderId="10" xfId="5" applyNumberFormat="1" applyFont="1" applyBorder="1" applyAlignment="1">
      <alignment horizontal="left" indent="1"/>
    </xf>
    <xf numFmtId="9" fontId="16" fillId="0" borderId="11" xfId="5" applyNumberFormat="1" applyFont="1" applyBorder="1" applyAlignment="1">
      <alignment horizontal="left" indent="1"/>
    </xf>
    <xf numFmtId="9" fontId="16" fillId="0" borderId="12" xfId="5" applyNumberFormat="1" applyFont="1" applyBorder="1" applyAlignment="1">
      <alignment horizontal="left" wrapText="1" indent="1"/>
    </xf>
    <xf numFmtId="9" fontId="16" fillId="0" borderId="12" xfId="5" applyNumberFormat="1" applyFont="1" applyBorder="1" applyAlignment="1">
      <alignment horizontal="left" indent="1"/>
    </xf>
    <xf numFmtId="9" fontId="16" fillId="0" borderId="8" xfId="5" applyNumberFormat="1" applyFont="1" applyBorder="1" applyAlignment="1">
      <alignment horizontal="left" indent="1"/>
    </xf>
    <xf numFmtId="9" fontId="16" fillId="0" borderId="2" xfId="5" applyNumberFormat="1" applyFont="1" applyBorder="1" applyAlignment="1">
      <alignment horizontal="left" indent="1"/>
    </xf>
    <xf numFmtId="0" fontId="16" fillId="0" borderId="9" xfId="5" applyFont="1" applyBorder="1" applyAlignment="1">
      <alignment horizontal="left" indent="1"/>
    </xf>
    <xf numFmtId="0" fontId="24" fillId="0" borderId="0" xfId="3" applyFont="1"/>
    <xf numFmtId="0" fontId="3" fillId="0" borderId="0" xfId="3"/>
    <xf numFmtId="0" fontId="25" fillId="0" borderId="0" xfId="9" applyFont="1" applyAlignment="1">
      <alignment wrapText="1"/>
    </xf>
    <xf numFmtId="0" fontId="25" fillId="0" borderId="0" xfId="3" applyFont="1" applyAlignment="1">
      <alignment horizontal="center"/>
    </xf>
    <xf numFmtId="14" fontId="26" fillId="0" borderId="0" xfId="3" applyNumberFormat="1" applyFont="1"/>
    <xf numFmtId="0" fontId="25" fillId="0" borderId="28" xfId="3" applyFont="1" applyBorder="1" applyAlignment="1">
      <alignment horizontal="center" wrapText="1"/>
    </xf>
    <xf numFmtId="0" fontId="0" fillId="0" borderId="29" xfId="0" applyBorder="1"/>
    <xf numFmtId="0" fontId="27" fillId="8" borderId="30" xfId="3" applyFont="1" applyFill="1" applyBorder="1" applyAlignment="1">
      <alignment wrapText="1"/>
    </xf>
    <xf numFmtId="168" fontId="25" fillId="0" borderId="14" xfId="3" applyNumberFormat="1" applyFont="1" applyBorder="1" applyAlignment="1">
      <alignment wrapText="1"/>
    </xf>
    <xf numFmtId="168" fontId="28" fillId="0" borderId="14" xfId="3" applyNumberFormat="1" applyFont="1" applyBorder="1" applyAlignment="1">
      <alignment horizontal="center" wrapText="1"/>
    </xf>
    <xf numFmtId="168" fontId="28" fillId="0" borderId="1" xfId="3" applyNumberFormat="1" applyFont="1" applyBorder="1" applyAlignment="1">
      <alignment horizontal="center" wrapText="1"/>
    </xf>
    <xf numFmtId="168" fontId="28" fillId="0" borderId="22" xfId="3" applyNumberFormat="1" applyFont="1" applyBorder="1" applyAlignment="1">
      <alignment horizontal="center" wrapText="1"/>
    </xf>
    <xf numFmtId="0" fontId="28" fillId="0" borderId="0" xfId="3" applyFont="1" applyAlignment="1">
      <alignment wrapText="1"/>
    </xf>
    <xf numFmtId="0" fontId="25" fillId="0" borderId="0" xfId="3" applyFont="1" applyAlignment="1">
      <alignment wrapText="1"/>
    </xf>
    <xf numFmtId="0" fontId="0" fillId="0" borderId="31" xfId="0" applyBorder="1"/>
    <xf numFmtId="0" fontId="27" fillId="8" borderId="9" xfId="3" applyFont="1" applyFill="1" applyBorder="1" applyAlignment="1">
      <alignment wrapText="1"/>
    </xf>
    <xf numFmtId="0" fontId="0" fillId="0" borderId="32" xfId="0" applyBorder="1"/>
    <xf numFmtId="0" fontId="27" fillId="8" borderId="5" xfId="3" applyFont="1" applyFill="1" applyBorder="1" applyAlignment="1">
      <alignment wrapText="1"/>
    </xf>
    <xf numFmtId="0" fontId="28" fillId="8" borderId="7" xfId="3" applyFont="1" applyFill="1" applyBorder="1" applyAlignment="1">
      <alignment wrapText="1"/>
    </xf>
    <xf numFmtId="0" fontId="28" fillId="8" borderId="9" xfId="3" applyFont="1" applyFill="1" applyBorder="1" applyAlignment="1">
      <alignment wrapText="1"/>
    </xf>
    <xf numFmtId="0" fontId="28" fillId="8" borderId="12" xfId="3" applyFont="1" applyFill="1" applyBorder="1" applyAlignment="1">
      <alignment wrapText="1"/>
    </xf>
    <xf numFmtId="0" fontId="0" fillId="0" borderId="33" xfId="0" applyBorder="1"/>
    <xf numFmtId="0" fontId="28" fillId="8" borderId="34" xfId="3" applyFont="1" applyFill="1" applyBorder="1" applyAlignment="1">
      <alignment wrapText="1"/>
    </xf>
    <xf numFmtId="168" fontId="28" fillId="0" borderId="35" xfId="3" applyNumberFormat="1" applyFont="1" applyBorder="1" applyAlignment="1">
      <alignment horizontal="center" wrapText="1"/>
    </xf>
    <xf numFmtId="168" fontId="28" fillId="0" borderId="36" xfId="3" applyNumberFormat="1" applyFont="1" applyBorder="1" applyAlignment="1">
      <alignment horizontal="center" wrapText="1"/>
    </xf>
    <xf numFmtId="168" fontId="24" fillId="0" borderId="0" xfId="3" applyNumberFormat="1" applyFont="1"/>
    <xf numFmtId="0" fontId="25" fillId="0" borderId="0" xfId="3" applyFont="1" applyAlignment="1">
      <alignment horizontal="center" wrapText="1"/>
    </xf>
    <xf numFmtId="168" fontId="28" fillId="0" borderId="1" xfId="3" applyNumberFormat="1" applyFont="1" applyBorder="1" applyAlignment="1">
      <alignment wrapText="1"/>
    </xf>
    <xf numFmtId="0" fontId="28" fillId="0" borderId="0" xfId="3" applyFont="1" applyAlignment="1">
      <alignment horizontal="center" wrapText="1"/>
    </xf>
    <xf numFmtId="169" fontId="28" fillId="0" borderId="0" xfId="3" applyNumberFormat="1" applyFont="1" applyAlignment="1">
      <alignment wrapText="1"/>
    </xf>
    <xf numFmtId="170" fontId="29" fillId="9" borderId="0" xfId="0" applyNumberFormat="1" applyFont="1" applyFill="1" applyAlignment="1">
      <alignment horizontal="center" wrapText="1"/>
    </xf>
    <xf numFmtId="169" fontId="3" fillId="0" borderId="0" xfId="3" applyNumberFormat="1"/>
    <xf numFmtId="168" fontId="28" fillId="0" borderId="0" xfId="3" applyNumberFormat="1" applyFont="1" applyAlignment="1">
      <alignment wrapText="1"/>
    </xf>
    <xf numFmtId="9" fontId="28" fillId="0" borderId="0" xfId="2" applyFont="1" applyAlignment="1">
      <alignment wrapText="1"/>
    </xf>
    <xf numFmtId="3" fontId="22" fillId="0" borderId="4" xfId="7" applyNumberFormat="1" applyFont="1" applyBorder="1" applyAlignment="1">
      <alignment horizontal="center"/>
    </xf>
    <xf numFmtId="3" fontId="22" fillId="0" borderId="5" xfId="7" applyNumberFormat="1" applyFont="1" applyBorder="1" applyAlignment="1">
      <alignment horizontal="center"/>
    </xf>
    <xf numFmtId="3" fontId="22" fillId="0" borderId="2" xfId="7" applyNumberFormat="1" applyFont="1" applyBorder="1" applyAlignment="1">
      <alignment horizontal="center"/>
    </xf>
    <xf numFmtId="3" fontId="22" fillId="0" borderId="9" xfId="7" applyNumberFormat="1" applyFont="1" applyBorder="1" applyAlignment="1">
      <alignment horizontal="center"/>
    </xf>
    <xf numFmtId="0" fontId="30" fillId="0" borderId="0" xfId="0" applyFont="1"/>
    <xf numFmtId="0" fontId="2" fillId="0" borderId="2" xfId="7" applyFont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22" fillId="0" borderId="0" xfId="3" applyFont="1" applyAlignment="1">
      <alignment horizontal="center" vertical="center"/>
    </xf>
    <xf numFmtId="0" fontId="22" fillId="0" borderId="2" xfId="3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72" fontId="0" fillId="0" borderId="0" xfId="0" applyNumberFormat="1"/>
    <xf numFmtId="171" fontId="0" fillId="0" borderId="2" xfId="0" applyNumberFormat="1" applyBorder="1" applyAlignment="1">
      <alignment horizontal="center"/>
    </xf>
    <xf numFmtId="172" fontId="2" fillId="0" borderId="0" xfId="8" applyNumberFormat="1" applyFont="1"/>
    <xf numFmtId="172" fontId="2" fillId="0" borderId="2" xfId="8" applyNumberFormat="1" applyFont="1" applyBorder="1"/>
    <xf numFmtId="0" fontId="2" fillId="0" borderId="37" xfId="0" applyFont="1" applyBorder="1"/>
    <xf numFmtId="0" fontId="2" fillId="0" borderId="38" xfId="0" applyFont="1" applyBorder="1"/>
    <xf numFmtId="167" fontId="2" fillId="0" borderId="38" xfId="0" applyNumberFormat="1" applyFont="1" applyBorder="1"/>
    <xf numFmtId="3" fontId="22" fillId="0" borderId="0" xfId="7" applyNumberFormat="1" applyFont="1" applyAlignment="1">
      <alignment horizontal="center"/>
    </xf>
    <xf numFmtId="9" fontId="31" fillId="0" borderId="0" xfId="0" applyNumberFormat="1" applyFont="1" applyAlignment="1">
      <alignment horizontal="center"/>
    </xf>
    <xf numFmtId="9" fontId="31" fillId="0" borderId="2" xfId="0" applyNumberFormat="1" applyFont="1" applyBorder="1" applyAlignment="1">
      <alignment horizontal="center"/>
    </xf>
    <xf numFmtId="0" fontId="32" fillId="0" borderId="2" xfId="0" applyFont="1" applyBorder="1" applyAlignment="1">
      <alignment horizontal="center"/>
    </xf>
    <xf numFmtId="3" fontId="0" fillId="0" borderId="0" xfId="0" applyNumberFormat="1"/>
    <xf numFmtId="3" fontId="22" fillId="0" borderId="3" xfId="7" applyNumberFormat="1" applyFont="1" applyBorder="1" applyAlignment="1">
      <alignment horizontal="center"/>
    </xf>
    <xf numFmtId="3" fontId="22" fillId="0" borderId="8" xfId="7" applyNumberFormat="1" applyFont="1" applyBorder="1" applyAlignment="1">
      <alignment horizontal="center"/>
    </xf>
    <xf numFmtId="3" fontId="22" fillId="0" borderId="6" xfId="7" applyNumberFormat="1" applyFont="1" applyBorder="1" applyAlignment="1">
      <alignment horizontal="center"/>
    </xf>
    <xf numFmtId="3" fontId="22" fillId="0" borderId="7" xfId="7" applyNumberFormat="1" applyFont="1" applyBorder="1" applyAlignment="1">
      <alignment horizontal="center"/>
    </xf>
    <xf numFmtId="0" fontId="4" fillId="0" borderId="0" xfId="3" applyFont="1" applyAlignment="1">
      <alignment horizontal="right" vertical="center"/>
    </xf>
    <xf numFmtId="0" fontId="33" fillId="0" borderId="0" xfId="3" applyFont="1" applyAlignment="1">
      <alignment horizontal="center" vertical="center"/>
    </xf>
    <xf numFmtId="0" fontId="2" fillId="0" borderId="2" xfId="0" applyFont="1" applyBorder="1"/>
    <xf numFmtId="0" fontId="34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35" fillId="0" borderId="2" xfId="3" applyFont="1" applyBorder="1" applyAlignment="1">
      <alignment horizontal="center" vertical="center"/>
    </xf>
    <xf numFmtId="0" fontId="9" fillId="0" borderId="2" xfId="3" applyFont="1" applyBorder="1" applyAlignment="1">
      <alignment horizontal="left" vertical="center"/>
    </xf>
    <xf numFmtId="0" fontId="5" fillId="0" borderId="2" xfId="3" applyFont="1" applyBorder="1" applyAlignment="1">
      <alignment horizontal="center" vertical="center"/>
    </xf>
    <xf numFmtId="0" fontId="23" fillId="0" borderId="2" xfId="3" applyFont="1" applyBorder="1" applyAlignment="1">
      <alignment horizontal="center" vertical="center"/>
    </xf>
    <xf numFmtId="9" fontId="9" fillId="0" borderId="2" xfId="2" applyFont="1" applyBorder="1" applyAlignment="1">
      <alignment horizontal="center" vertical="center"/>
    </xf>
    <xf numFmtId="0" fontId="2" fillId="0" borderId="0" xfId="7" applyFont="1"/>
    <xf numFmtId="9" fontId="9" fillId="0" borderId="0" xfId="2" applyFont="1" applyAlignment="1">
      <alignment horizontal="center" vertical="center"/>
    </xf>
    <xf numFmtId="0" fontId="33" fillId="0" borderId="0" xfId="3" applyFont="1" applyAlignment="1">
      <alignment horizontal="left" vertical="center"/>
    </xf>
    <xf numFmtId="172" fontId="1" fillId="0" borderId="4" xfId="8" applyNumberFormat="1" applyBorder="1"/>
    <xf numFmtId="172" fontId="2" fillId="0" borderId="38" xfId="8" applyNumberFormat="1" applyFont="1" applyBorder="1"/>
    <xf numFmtId="172" fontId="2" fillId="0" borderId="40" xfId="8" applyNumberFormat="1" applyFont="1" applyBorder="1"/>
    <xf numFmtId="0" fontId="35" fillId="0" borderId="38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172" fontId="18" fillId="10" borderId="39" xfId="8" applyNumberFormat="1" applyFont="1" applyFill="1" applyBorder="1"/>
    <xf numFmtId="172" fontId="18" fillId="11" borderId="39" xfId="8" applyNumberFormat="1" applyFont="1" applyFill="1" applyBorder="1"/>
    <xf numFmtId="172" fontId="2" fillId="0" borderId="0" xfId="8" applyNumberFormat="1" applyFont="1" applyAlignment="1">
      <alignment horizontal="center"/>
    </xf>
    <xf numFmtId="172" fontId="2" fillId="0" borderId="2" xfId="8" applyNumberFormat="1" applyFont="1" applyBorder="1" applyAlignment="1">
      <alignment horizontal="center"/>
    </xf>
    <xf numFmtId="9" fontId="9" fillId="0" borderId="41" xfId="2" applyFont="1" applyBorder="1" applyAlignment="1">
      <alignment horizontal="center" vertical="center"/>
    </xf>
    <xf numFmtId="0" fontId="30" fillId="0" borderId="2" xfId="0" applyFont="1" applyBorder="1"/>
    <xf numFmtId="3" fontId="22" fillId="0" borderId="10" xfId="7" applyNumberFormat="1" applyFont="1" applyBorder="1" applyAlignment="1">
      <alignment horizontal="center"/>
    </xf>
    <xf numFmtId="3" fontId="22" fillId="0" borderId="11" xfId="7" applyNumberFormat="1" applyFont="1" applyBorder="1" applyAlignment="1">
      <alignment horizontal="center"/>
    </xf>
    <xf numFmtId="3" fontId="22" fillId="0" borderId="12" xfId="7" applyNumberFormat="1" applyFont="1" applyBorder="1" applyAlignment="1">
      <alignment horizontal="center"/>
    </xf>
    <xf numFmtId="3" fontId="22" fillId="0" borderId="20" xfId="7" applyNumberFormat="1" applyFont="1" applyBorder="1" applyAlignment="1">
      <alignment horizontal="center"/>
    </xf>
    <xf numFmtId="3" fontId="22" fillId="0" borderId="42" xfId="7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3" fontId="36" fillId="0" borderId="3" xfId="7" applyNumberFormat="1" applyFont="1" applyBorder="1" applyAlignment="1">
      <alignment horizontal="center"/>
    </xf>
    <xf numFmtId="3" fontId="36" fillId="0" borderId="4" xfId="7" applyNumberFormat="1" applyFont="1" applyBorder="1" applyAlignment="1">
      <alignment horizontal="center"/>
    </xf>
    <xf numFmtId="3" fontId="36" fillId="0" borderId="6" xfId="7" applyNumberFormat="1" applyFont="1" applyBorder="1" applyAlignment="1">
      <alignment horizontal="center"/>
    </xf>
    <xf numFmtId="3" fontId="36" fillId="0" borderId="0" xfId="7" applyNumberFormat="1" applyFont="1" applyAlignment="1">
      <alignment horizontal="center"/>
    </xf>
    <xf numFmtId="3" fontId="36" fillId="0" borderId="8" xfId="7" applyNumberFormat="1" applyFont="1" applyBorder="1" applyAlignment="1">
      <alignment horizontal="center"/>
    </xf>
    <xf numFmtId="3" fontId="36" fillId="0" borderId="2" xfId="7" applyNumberFormat="1" applyFont="1" applyBorder="1" applyAlignment="1">
      <alignment horizontal="center"/>
    </xf>
    <xf numFmtId="172" fontId="2" fillId="0" borderId="39" xfId="8" applyNumberFormat="1" applyFont="1" applyBorder="1"/>
    <xf numFmtId="168" fontId="2" fillId="0" borderId="38" xfId="8" applyNumberFormat="1" applyFont="1" applyBorder="1" applyAlignment="1">
      <alignment horizontal="center"/>
    </xf>
    <xf numFmtId="168" fontId="2" fillId="0" borderId="40" xfId="8" applyNumberFormat="1" applyFont="1" applyBorder="1" applyAlignment="1">
      <alignment horizontal="center"/>
    </xf>
    <xf numFmtId="168" fontId="2" fillId="0" borderId="39" xfId="8" applyNumberFormat="1" applyFont="1" applyBorder="1" applyAlignment="1">
      <alignment horizontal="center"/>
    </xf>
    <xf numFmtId="3" fontId="21" fillId="0" borderId="3" xfId="7" applyNumberFormat="1" applyFont="1" applyBorder="1" applyAlignment="1">
      <alignment horizontal="center"/>
    </xf>
    <xf numFmtId="3" fontId="21" fillId="0" borderId="4" xfId="7" applyNumberFormat="1" applyFont="1" applyBorder="1" applyAlignment="1">
      <alignment horizontal="center"/>
    </xf>
    <xf numFmtId="3" fontId="21" fillId="0" borderId="5" xfId="7" applyNumberFormat="1" applyFont="1" applyBorder="1" applyAlignment="1">
      <alignment horizontal="center"/>
    </xf>
    <xf numFmtId="3" fontId="21" fillId="0" borderId="17" xfId="7" applyNumberFormat="1" applyFont="1" applyBorder="1" applyAlignment="1">
      <alignment horizontal="center"/>
    </xf>
    <xf numFmtId="3" fontId="21" fillId="0" borderId="6" xfId="7" applyNumberFormat="1" applyFont="1" applyBorder="1" applyAlignment="1">
      <alignment horizontal="center"/>
    </xf>
    <xf numFmtId="3" fontId="21" fillId="0" borderId="0" xfId="7" applyNumberFormat="1" applyFont="1" applyAlignment="1">
      <alignment horizontal="center"/>
    </xf>
    <xf numFmtId="3" fontId="21" fillId="0" borderId="7" xfId="7" applyNumberFormat="1" applyFont="1" applyBorder="1" applyAlignment="1">
      <alignment horizontal="center"/>
    </xf>
    <xf numFmtId="3" fontId="21" fillId="0" borderId="20" xfId="7" applyNumberFormat="1" applyFont="1" applyBorder="1" applyAlignment="1">
      <alignment horizontal="center"/>
    </xf>
    <xf numFmtId="3" fontId="21" fillId="0" borderId="8" xfId="7" applyNumberFormat="1" applyFont="1" applyBorder="1" applyAlignment="1">
      <alignment horizontal="center"/>
    </xf>
    <xf numFmtId="3" fontId="21" fillId="0" borderId="2" xfId="7" applyNumberFormat="1" applyFont="1" applyBorder="1" applyAlignment="1">
      <alignment horizontal="center"/>
    </xf>
    <xf numFmtId="3" fontId="21" fillId="0" borderId="9" xfId="7" applyNumberFormat="1" applyFont="1" applyBorder="1" applyAlignment="1">
      <alignment horizontal="center"/>
    </xf>
    <xf numFmtId="3" fontId="21" fillId="0" borderId="42" xfId="7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76" fontId="2" fillId="0" borderId="0" xfId="8" applyNumberFormat="1" applyFont="1" applyAlignment="1">
      <alignment horizontal="center"/>
    </xf>
  </cellXfs>
  <cellStyles count="10">
    <cellStyle name="Comma" xfId="1" builtinId="3"/>
    <cellStyle name="Comma 2 2" xfId="6" xr:uid="{73757735-8733-44F0-AC1B-A1317D97F929}"/>
    <cellStyle name="Currency" xfId="8" builtinId="4"/>
    <cellStyle name="Normal" xfId="0" builtinId="0"/>
    <cellStyle name="Normal 2" xfId="7" xr:uid="{872723E8-5F2C-4F7D-A994-054E5E5E9B70}"/>
    <cellStyle name="Normal 2 2" xfId="9" xr:uid="{EBCC8AB9-74BB-4E28-A39D-38ED3067A943}"/>
    <cellStyle name="Normal 2 3" xfId="4" xr:uid="{C029CA3B-5A82-4C95-8576-A40D364676BC}"/>
    <cellStyle name="Normal 3" xfId="3" xr:uid="{3D8F8436-F096-4C26-9C57-F76793868742}"/>
    <cellStyle name="Normal 6" xfId="5" xr:uid="{CA7A0F2B-6142-437E-904E-96D47AB3EEB3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95250</xdr:rowOff>
        </xdr:from>
        <xdr:to>
          <xdr:col>2</xdr:col>
          <xdr:colOff>895350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Breakeven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22</xdr:row>
      <xdr:rowOff>0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3257550" y="0"/>
          <a:ext cx="5248275" cy="4267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22</xdr:row>
      <xdr:rowOff>0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3257550" y="0"/>
          <a:ext cx="5248275" cy="4267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62B96-C326-4F45-9704-3A44E91E2B95}">
  <sheetPr codeName="Sheet3"/>
  <dimension ref="B1:W53"/>
  <sheetViews>
    <sheetView showGridLines="0" tabSelected="1" workbookViewId="0">
      <selection activeCell="H9" sqref="H9"/>
    </sheetView>
  </sheetViews>
  <sheetFormatPr defaultRowHeight="15" outlineLevelRow="1"/>
  <cols>
    <col min="1" max="1" width="3.28515625" customWidth="1"/>
    <col min="2" max="2" width="14.5703125" customWidth="1"/>
    <col min="3" max="3" width="11.85546875" customWidth="1"/>
    <col min="4" max="4" width="14.140625" customWidth="1"/>
    <col min="5" max="5" width="12.5703125" customWidth="1"/>
    <col min="6" max="6" width="12.42578125" customWidth="1"/>
    <col min="7" max="7" width="12.85546875" customWidth="1"/>
    <col min="8" max="8" width="13.28515625" bestFit="1" customWidth="1"/>
    <col min="9" max="9" width="15.5703125" customWidth="1"/>
    <col min="10" max="10" width="12.42578125" customWidth="1"/>
    <col min="11" max="11" width="12.7109375" customWidth="1"/>
    <col min="12" max="12" width="13.5703125" customWidth="1"/>
    <col min="13" max="13" width="16" customWidth="1"/>
    <col min="14" max="14" width="11.28515625" customWidth="1"/>
    <col min="15" max="15" width="11.7109375" customWidth="1"/>
    <col min="16" max="16" width="11" customWidth="1"/>
  </cols>
  <sheetData>
    <row r="1" spans="2:23" ht="11.25" customHeight="1"/>
    <row r="2" spans="2:23">
      <c r="E2" s="144" t="s">
        <v>4</v>
      </c>
      <c r="F2" s="144" t="s">
        <v>17</v>
      </c>
      <c r="G2" s="144" t="s">
        <v>27</v>
      </c>
      <c r="H2" s="144" t="s">
        <v>34</v>
      </c>
      <c r="I2" s="144" t="s">
        <v>40</v>
      </c>
      <c r="J2" s="144" t="s">
        <v>46</v>
      </c>
      <c r="K2" s="144" t="s">
        <v>53</v>
      </c>
      <c r="L2" s="177"/>
      <c r="P2" s="44" t="s">
        <v>190</v>
      </c>
      <c r="Q2" s="144" t="s">
        <v>4</v>
      </c>
      <c r="R2" s="144" t="s">
        <v>17</v>
      </c>
      <c r="S2" s="144" t="s">
        <v>27</v>
      </c>
      <c r="T2" s="144" t="s">
        <v>34</v>
      </c>
      <c r="U2" s="144" t="s">
        <v>40</v>
      </c>
      <c r="V2" s="144" t="s">
        <v>46</v>
      </c>
      <c r="W2" s="144" t="s">
        <v>53</v>
      </c>
    </row>
    <row r="3" spans="2:23">
      <c r="B3" s="45" t="s">
        <v>162</v>
      </c>
      <c r="C3" s="45" t="s">
        <v>185</v>
      </c>
      <c r="D3" s="45"/>
    </row>
    <row r="4" spans="2:23">
      <c r="B4" t="s">
        <v>98</v>
      </c>
      <c r="E4" s="162">
        <f>'April Bonus'!D5</f>
        <v>85000</v>
      </c>
      <c r="F4" s="139">
        <f>'April Bonus'!E5</f>
        <v>70000</v>
      </c>
      <c r="G4" s="139">
        <f>'April Bonus'!F5</f>
        <v>35000</v>
      </c>
      <c r="H4" s="139">
        <f>'April Bonus'!G5</f>
        <v>45000</v>
      </c>
      <c r="I4" s="139">
        <f>'April Bonus'!H5</f>
        <v>35000</v>
      </c>
      <c r="J4" s="139">
        <f>'April Bonus'!I5</f>
        <v>60000</v>
      </c>
      <c r="K4" s="140">
        <f>'April Bonus'!J5</f>
        <v>35000</v>
      </c>
      <c r="L4" s="157">
        <f>SUM(E4:K4)</f>
        <v>365000</v>
      </c>
      <c r="Q4" s="145">
        <f>IF('April Bonus'!D11&gt;1,1,0)</f>
        <v>1</v>
      </c>
      <c r="R4" s="145">
        <f>IF('April Bonus'!E11&gt;1,1,0)</f>
        <v>1</v>
      </c>
      <c r="S4" s="145">
        <f>IF('April Bonus'!F11&gt;1,1,0)</f>
        <v>1</v>
      </c>
      <c r="T4" s="145">
        <f>IF('April Bonus'!G11&gt;1,1,0)</f>
        <v>1</v>
      </c>
      <c r="U4" s="145">
        <f>IF('April Bonus'!H11&gt;1,1,0)</f>
        <v>0</v>
      </c>
      <c r="V4" s="145">
        <f>IF('April Bonus'!I11&gt;1,1,0)</f>
        <v>1</v>
      </c>
      <c r="W4" s="145">
        <f>IF('April Bonus'!J11&gt;1,1,0)</f>
        <v>1</v>
      </c>
    </row>
    <row r="5" spans="2:23">
      <c r="B5" t="s">
        <v>161</v>
      </c>
      <c r="E5" s="164">
        <f>'April Bonus'!D6</f>
        <v>19965</v>
      </c>
      <c r="F5" s="157">
        <f>'April Bonus'!E6</f>
        <v>21875</v>
      </c>
      <c r="G5" s="157">
        <f>'April Bonus'!F6</f>
        <v>22775</v>
      </c>
      <c r="H5" s="157">
        <f>'April Bonus'!G6</f>
        <v>14020</v>
      </c>
      <c r="I5" s="157">
        <f>'April Bonus'!H6</f>
        <v>17500</v>
      </c>
      <c r="J5" s="157">
        <f>'April Bonus'!I6</f>
        <v>21250</v>
      </c>
      <c r="K5" s="165">
        <f>'April Bonus'!J6</f>
        <v>17500</v>
      </c>
      <c r="L5" s="157"/>
      <c r="Q5" s="145">
        <f>IF('April Bonus'!D12&gt;1,1,0)</f>
        <v>1</v>
      </c>
      <c r="R5" s="145">
        <f>IF('April Bonus'!E12&gt;1,1,0)</f>
        <v>1</v>
      </c>
      <c r="S5" s="145">
        <f>IF('April Bonus'!F12&gt;1,1,0)</f>
        <v>1</v>
      </c>
      <c r="T5" s="145">
        <f>IF('April Bonus'!G12&gt;1,1,0)</f>
        <v>1</v>
      </c>
      <c r="U5" s="145">
        <f>IF('April Bonus'!H12&gt;1,1,0)</f>
        <v>1</v>
      </c>
      <c r="V5" s="145">
        <f>IF('April Bonus'!I12&gt;1,1,0)</f>
        <v>1</v>
      </c>
      <c r="W5" s="145">
        <f>IF('April Bonus'!J12&gt;1,1,0)</f>
        <v>1</v>
      </c>
    </row>
    <row r="6" spans="2:23">
      <c r="B6" t="s">
        <v>174</v>
      </c>
      <c r="E6" s="163">
        <f>'April Bonus'!D9</f>
        <v>60000</v>
      </c>
      <c r="F6" s="141">
        <f>'April Bonus'!E9</f>
        <v>60000</v>
      </c>
      <c r="G6" s="141">
        <f>'April Bonus'!F9</f>
        <v>25000</v>
      </c>
      <c r="H6" s="141">
        <f>'April Bonus'!G9</f>
        <v>30000</v>
      </c>
      <c r="I6" s="141">
        <f>'April Bonus'!H9</f>
        <v>30000</v>
      </c>
      <c r="J6" s="141">
        <f>'April Bonus'!I9</f>
        <v>45000</v>
      </c>
      <c r="K6" s="142">
        <f>'April Bonus'!J9</f>
        <v>25000</v>
      </c>
      <c r="L6" s="157"/>
      <c r="Q6" s="145">
        <f>IF('April Bonus'!D13&gt;1,1,0)</f>
        <v>1</v>
      </c>
      <c r="R6" s="145">
        <f>IF('April Bonus'!E13&gt;1,1,0)</f>
        <v>1</v>
      </c>
      <c r="S6" s="145">
        <f>IF('April Bonus'!F13&gt;1,1,0)</f>
        <v>1</v>
      </c>
      <c r="T6" s="145">
        <f>IF('April Bonus'!G13&gt;1,1,0)</f>
        <v>1</v>
      </c>
      <c r="U6" s="145">
        <f>IF('April Bonus'!H13&gt;1,1,0)</f>
        <v>1</v>
      </c>
      <c r="V6" s="145">
        <f>IF('April Bonus'!I13&gt;1,1,0)</f>
        <v>1</v>
      </c>
      <c r="W6" s="145">
        <f>IF('April Bonus'!J13&gt;1,1,0)</f>
        <v>1</v>
      </c>
    </row>
    <row r="7" spans="2:23" ht="6" customHeight="1"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P7" s="93"/>
      <c r="Q7" s="145">
        <f>IF('April Bonus'!D14&gt;1,1,0)</f>
        <v>1</v>
      </c>
      <c r="R7" s="145">
        <f>IF('April Bonus'!E14&gt;1,1,0)</f>
        <v>1</v>
      </c>
      <c r="S7" s="145">
        <f>IF('April Bonus'!F14&gt;1,1,0)</f>
        <v>0</v>
      </c>
      <c r="T7" s="145">
        <f>IF('April Bonus'!G14&gt;1,1,0)</f>
        <v>1</v>
      </c>
      <c r="U7" s="145">
        <f>IF('April Bonus'!H14&gt;1,1,0)</f>
        <v>1</v>
      </c>
      <c r="V7" s="145">
        <f>IF('April Bonus'!I14&gt;1,1,0)</f>
        <v>1</v>
      </c>
      <c r="W7" s="145">
        <f>IF('April Bonus'!J14&gt;1,1,0)</f>
        <v>1</v>
      </c>
    </row>
    <row r="8" spans="2:23" ht="15.75" customHeight="1">
      <c r="B8" t="s">
        <v>175</v>
      </c>
      <c r="C8" s="93"/>
      <c r="D8" s="93"/>
      <c r="E8" s="169">
        <v>90000</v>
      </c>
      <c r="F8" s="169">
        <v>80000</v>
      </c>
      <c r="G8" s="169">
        <v>34000</v>
      </c>
      <c r="H8" s="169">
        <v>40000</v>
      </c>
      <c r="I8" s="169">
        <v>40000</v>
      </c>
      <c r="J8" s="169">
        <v>70000</v>
      </c>
      <c r="K8" s="169">
        <v>40000</v>
      </c>
      <c r="L8" s="169"/>
      <c r="P8" s="93"/>
      <c r="Q8" s="145">
        <f>IF('April Bonus'!D15&gt;1,1,0)</f>
        <v>1</v>
      </c>
      <c r="R8" s="145">
        <f>IF('April Bonus'!E15&gt;1,1,0)</f>
        <v>0</v>
      </c>
      <c r="S8" s="145">
        <f>IF('April Bonus'!F15&gt;1,1,0)</f>
        <v>0</v>
      </c>
      <c r="T8" s="145">
        <f>IF('April Bonus'!G15&gt;1,1,0)</f>
        <v>0</v>
      </c>
      <c r="U8" s="145">
        <f>IF('April Bonus'!H15&gt;1,1,0)</f>
        <v>1</v>
      </c>
      <c r="V8" s="145">
        <f>IF('April Bonus'!I15&gt;1,1,0)</f>
        <v>0</v>
      </c>
      <c r="W8" s="145">
        <f>IF('April Bonus'!J15&gt;1,1,0)</f>
        <v>0</v>
      </c>
    </row>
    <row r="9" spans="2:23" ht="15.75" customHeight="1">
      <c r="B9" s="45" t="s">
        <v>189</v>
      </c>
      <c r="C9" s="93"/>
      <c r="D9" s="93"/>
      <c r="E9" s="169"/>
      <c r="F9" s="169"/>
      <c r="G9" s="169"/>
      <c r="H9" s="169"/>
      <c r="I9" s="169"/>
      <c r="J9" s="169"/>
      <c r="K9" s="169"/>
      <c r="L9" s="169"/>
      <c r="P9" s="93"/>
      <c r="Q9" s="145"/>
      <c r="R9" s="145"/>
      <c r="S9" s="145"/>
      <c r="T9" s="145"/>
      <c r="U9" s="145"/>
      <c r="V9" s="145"/>
      <c r="W9" s="145"/>
    </row>
    <row r="10" spans="2:23" ht="15.75">
      <c r="B10" t="s">
        <v>179</v>
      </c>
      <c r="C10" s="170">
        <v>1</v>
      </c>
      <c r="D10" s="171" t="s">
        <v>177</v>
      </c>
      <c r="E10" s="31">
        <f>_xlfn.IFS(E8&lt;E6,0,E8&gt;E4,(E4-E6)/5*$C$10,E6&lt;E8,(E8-E6)/5*$C$10)</f>
        <v>5000</v>
      </c>
      <c r="F10" s="31">
        <f t="shared" ref="F10:K10" si="0">_xlfn.IFS(F8&lt;F6,0,F8&gt;F4,(F4-F6)/5*$C$10,F6&lt;F8,(F8-F6)/5*$C$10)</f>
        <v>2000</v>
      </c>
      <c r="G10" s="31">
        <f t="shared" si="0"/>
        <v>1800</v>
      </c>
      <c r="H10" s="31">
        <f t="shared" si="0"/>
        <v>2000</v>
      </c>
      <c r="I10" s="31">
        <f t="shared" si="0"/>
        <v>1000</v>
      </c>
      <c r="J10" s="31">
        <f t="shared" si="0"/>
        <v>3000</v>
      </c>
      <c r="K10" s="31">
        <f t="shared" si="0"/>
        <v>2000</v>
      </c>
      <c r="L10" s="31"/>
      <c r="P10" s="93"/>
      <c r="Q10" s="145">
        <f>IF('April Bonus'!D16&gt;1,1,0)</f>
        <v>1</v>
      </c>
      <c r="R10" s="145">
        <f>IF('April Bonus'!E16&gt;1,1,0)</f>
        <v>0</v>
      </c>
      <c r="S10" s="145">
        <f>IF('April Bonus'!F16&gt;1,1,0)</f>
        <v>1</v>
      </c>
      <c r="T10" s="145">
        <f>IF('April Bonus'!G16&gt;1,1,0)</f>
        <v>1</v>
      </c>
      <c r="U10" s="145">
        <f>IF('April Bonus'!H16&gt;1,1,0)</f>
        <v>1</v>
      </c>
      <c r="V10" s="145">
        <f>IF('April Bonus'!I16&gt;1,1,0)</f>
        <v>1</v>
      </c>
      <c r="W10" s="145">
        <f>IF('April Bonus'!J16&gt;1,1,0)</f>
        <v>0</v>
      </c>
    </row>
    <row r="11" spans="2:23" ht="15.75">
      <c r="B11" t="s">
        <v>178</v>
      </c>
      <c r="C11" s="170">
        <v>1000</v>
      </c>
      <c r="D11" s="171" t="s">
        <v>180</v>
      </c>
      <c r="E11" s="31">
        <f>_xlfn.IFS(E8&lt;E4,0,E8&gt;E4,$C$11)</f>
        <v>1000</v>
      </c>
      <c r="F11" s="31">
        <f t="shared" ref="F11:K11" si="1">_xlfn.IFS(F8&lt;F4,0,F8&gt;F4,$C$11)</f>
        <v>1000</v>
      </c>
      <c r="G11" s="31">
        <f t="shared" si="1"/>
        <v>0</v>
      </c>
      <c r="H11" s="31">
        <f t="shared" si="1"/>
        <v>0</v>
      </c>
      <c r="I11" s="31">
        <f t="shared" si="1"/>
        <v>1000</v>
      </c>
      <c r="J11" s="31">
        <f t="shared" si="1"/>
        <v>1000</v>
      </c>
      <c r="K11" s="31">
        <f t="shared" si="1"/>
        <v>1000</v>
      </c>
      <c r="L11" s="31"/>
      <c r="P11" s="93"/>
      <c r="Q11" s="146">
        <f>IF('April Bonus'!D17&gt;1,1,0)</f>
        <v>1</v>
      </c>
      <c r="R11" s="146">
        <f>IF('April Bonus'!E17&gt;1,1,0)</f>
        <v>0</v>
      </c>
      <c r="S11" s="146">
        <f>IF('April Bonus'!F17&gt;1,1,0)</f>
        <v>0</v>
      </c>
      <c r="T11" s="146">
        <f>IF('April Bonus'!G17&gt;1,1,0)</f>
        <v>0</v>
      </c>
      <c r="U11" s="146">
        <f>IF('April Bonus'!H17&gt;1,1,0)</f>
        <v>0</v>
      </c>
      <c r="V11" s="146">
        <f>IF('April Bonus'!I17&gt;1,1,0)</f>
        <v>1</v>
      </c>
      <c r="W11" s="146">
        <f>IF('April Bonus'!J17&gt;1,1,0)</f>
        <v>0</v>
      </c>
    </row>
    <row r="12" spans="2:23" ht="16.5" thickBot="1">
      <c r="B12" s="73" t="s">
        <v>181</v>
      </c>
      <c r="C12" s="172">
        <v>2</v>
      </c>
      <c r="D12" s="173" t="s">
        <v>177</v>
      </c>
      <c r="E12" s="174">
        <f>_xlfn.IFS(E8&lt;E4,0,E8&gt;E4,(E8-E4)/5*$C$12)</f>
        <v>2000</v>
      </c>
      <c r="F12" s="174">
        <f t="shared" ref="F12:K12" si="2">_xlfn.IFS(F8&lt;F4,0,F8&gt;F4,(F8-F4)/5*$C$12)</f>
        <v>4000</v>
      </c>
      <c r="G12" s="174">
        <f t="shared" si="2"/>
        <v>0</v>
      </c>
      <c r="H12" s="174">
        <f t="shared" si="2"/>
        <v>0</v>
      </c>
      <c r="I12" s="174">
        <f t="shared" si="2"/>
        <v>2000</v>
      </c>
      <c r="J12" s="174">
        <f t="shared" si="2"/>
        <v>4000</v>
      </c>
      <c r="K12" s="174">
        <f t="shared" si="2"/>
        <v>2000</v>
      </c>
      <c r="L12" s="179" t="s">
        <v>92</v>
      </c>
      <c r="P12" s="166" t="s">
        <v>92</v>
      </c>
      <c r="Q12" s="167">
        <f>SUM(Q4:Q11)</f>
        <v>7</v>
      </c>
      <c r="R12" s="167">
        <f t="shared" ref="R12:W12" si="3">SUM(R4:R11)</f>
        <v>4</v>
      </c>
      <c r="S12" s="167">
        <f t="shared" si="3"/>
        <v>4</v>
      </c>
      <c r="T12" s="167">
        <f t="shared" si="3"/>
        <v>5</v>
      </c>
      <c r="U12" s="167">
        <f t="shared" si="3"/>
        <v>5</v>
      </c>
      <c r="V12" s="167">
        <f t="shared" si="3"/>
        <v>6</v>
      </c>
      <c r="W12" s="167">
        <f t="shared" si="3"/>
        <v>4</v>
      </c>
    </row>
    <row r="13" spans="2:23" ht="16.5" thickBot="1">
      <c r="B13" s="154" t="s">
        <v>182</v>
      </c>
      <c r="C13" s="183"/>
      <c r="D13" s="184"/>
      <c r="E13" s="204">
        <f>SUM(E10:E12)</f>
        <v>8000</v>
      </c>
      <c r="F13" s="204">
        <f t="shared" ref="F13:K13" si="4">SUM(F10:F12)</f>
        <v>7000</v>
      </c>
      <c r="G13" s="204">
        <f t="shared" si="4"/>
        <v>1800</v>
      </c>
      <c r="H13" s="204">
        <f t="shared" si="4"/>
        <v>2000</v>
      </c>
      <c r="I13" s="204">
        <f t="shared" si="4"/>
        <v>4000</v>
      </c>
      <c r="J13" s="204">
        <f t="shared" si="4"/>
        <v>8000</v>
      </c>
      <c r="K13" s="205">
        <f t="shared" si="4"/>
        <v>5000</v>
      </c>
      <c r="L13" s="206">
        <f>SUM(E13:K13)</f>
        <v>35800</v>
      </c>
      <c r="M13" s="166"/>
      <c r="N13" s="167"/>
      <c r="O13" s="167"/>
      <c r="P13" s="167"/>
      <c r="Q13" s="167"/>
      <c r="R13" s="167"/>
      <c r="S13" s="167"/>
      <c r="T13" s="167"/>
    </row>
    <row r="14" spans="2:23" ht="10.5" customHeight="1" thickBot="1">
      <c r="C14" s="170"/>
      <c r="D14" s="171"/>
      <c r="E14" s="31"/>
      <c r="F14" s="31"/>
      <c r="G14" s="31"/>
      <c r="H14" s="31"/>
      <c r="I14" s="31"/>
      <c r="J14" s="31"/>
      <c r="K14" s="31"/>
      <c r="L14" s="31"/>
      <c r="M14" s="166"/>
      <c r="N14" s="167"/>
      <c r="O14" s="167"/>
      <c r="P14" s="167"/>
      <c r="Q14" s="167"/>
      <c r="R14" s="167"/>
      <c r="S14" s="167"/>
      <c r="T14" s="167"/>
    </row>
    <row r="15" spans="2:23" ht="16.5" thickBot="1">
      <c r="B15" s="154" t="s">
        <v>171</v>
      </c>
      <c r="C15" s="183">
        <v>3.14</v>
      </c>
      <c r="D15" s="184"/>
      <c r="E15" s="181">
        <f t="shared" ref="E15:K15" si="5">E8*$C$15</f>
        <v>282600</v>
      </c>
      <c r="F15" s="181">
        <f t="shared" si="5"/>
        <v>251200</v>
      </c>
      <c r="G15" s="181">
        <f t="shared" si="5"/>
        <v>106760</v>
      </c>
      <c r="H15" s="181">
        <f t="shared" si="5"/>
        <v>125600</v>
      </c>
      <c r="I15" s="181">
        <f t="shared" si="5"/>
        <v>125600</v>
      </c>
      <c r="J15" s="181">
        <f t="shared" si="5"/>
        <v>219800</v>
      </c>
      <c r="K15" s="182">
        <f t="shared" si="5"/>
        <v>125600</v>
      </c>
      <c r="L15" s="203">
        <f>SUM(E15:K15)</f>
        <v>1237160</v>
      </c>
      <c r="M15" s="93"/>
      <c r="N15" s="93"/>
      <c r="O15" s="93"/>
      <c r="P15" s="93"/>
      <c r="Q15" s="93"/>
      <c r="R15" s="93"/>
    </row>
    <row r="16" spans="2:23" hidden="1" outlineLevel="1">
      <c r="B16" t="s">
        <v>167</v>
      </c>
      <c r="E16" s="145">
        <f>'April Bonus'!D19</f>
        <v>96000</v>
      </c>
      <c r="F16" s="145">
        <f>'April Bonus'!E19</f>
        <v>74000</v>
      </c>
      <c r="G16" s="145">
        <f>'April Bonus'!F19</f>
        <v>46000</v>
      </c>
      <c r="H16" s="145">
        <f>'April Bonus'!G19</f>
        <v>64000</v>
      </c>
      <c r="I16" s="145">
        <f>'April Bonus'!H19</f>
        <v>53000</v>
      </c>
      <c r="J16" s="145">
        <f>'April Bonus'!I19</f>
        <v>75000</v>
      </c>
      <c r="K16" s="145">
        <f>'April Bonus'!J19</f>
        <v>54000</v>
      </c>
      <c r="L16" s="93"/>
      <c r="M16" s="93"/>
      <c r="N16" s="93"/>
      <c r="O16" s="93"/>
      <c r="P16" s="93"/>
      <c r="Q16" s="93"/>
      <c r="R16" s="93"/>
    </row>
    <row r="17" spans="2:18" hidden="1" outlineLevel="1">
      <c r="B17" t="s">
        <v>165</v>
      </c>
      <c r="C17" s="158">
        <v>1.0999999999999999E-2</v>
      </c>
      <c r="D17" s="158"/>
      <c r="E17" s="145">
        <v>1.0999999999999999E-2</v>
      </c>
      <c r="F17" s="145">
        <v>1.0999999999999999E-2</v>
      </c>
      <c r="G17" s="145">
        <v>1.0999999999999999E-2</v>
      </c>
      <c r="H17" s="145">
        <v>1.0999999999999999E-2</v>
      </c>
      <c r="I17" s="145">
        <v>1.0999999999999999E-2</v>
      </c>
      <c r="J17" s="145">
        <v>1.0999999999999999E-2</v>
      </c>
      <c r="K17" s="145">
        <v>1.0999999999999999E-2</v>
      </c>
      <c r="L17" s="93"/>
      <c r="M17" s="152"/>
      <c r="N17" s="93"/>
      <c r="O17" s="93"/>
      <c r="P17" s="93"/>
      <c r="Q17" s="93"/>
      <c r="R17" s="93"/>
    </row>
    <row r="18" spans="2:18" hidden="1" outlineLevel="1">
      <c r="B18" s="73" t="s">
        <v>166</v>
      </c>
      <c r="C18" s="159" t="s">
        <v>172</v>
      </c>
      <c r="D18" s="159"/>
      <c r="E18" s="151">
        <f>'April Bonus'!D21</f>
        <v>1.1063101127581458</v>
      </c>
      <c r="F18" s="151">
        <f>'April Bonus'!E21</f>
        <v>1.6084464301855601</v>
      </c>
      <c r="G18" s="151">
        <f>'April Bonus'!F21</f>
        <v>0.74175824175824179</v>
      </c>
      <c r="H18" s="151">
        <f>'April Bonus'!G21</f>
        <v>1.1364377614520782</v>
      </c>
      <c r="I18" s="151">
        <f>'April Bonus'!H21</f>
        <v>0.93828388588807399</v>
      </c>
      <c r="J18" s="151">
        <f>'April Bonus'!I21</f>
        <v>1.182965004816726</v>
      </c>
      <c r="K18" s="151">
        <f>'April Bonus'!J21</f>
        <v>0.8035887937022459</v>
      </c>
      <c r="L18" s="93"/>
      <c r="M18" s="152"/>
      <c r="N18" s="93"/>
      <c r="O18" s="93"/>
      <c r="P18" s="93"/>
      <c r="Q18" s="93"/>
      <c r="R18" s="93"/>
    </row>
    <row r="19" spans="2:18" ht="16.5" customHeight="1" collapsed="1" thickBot="1">
      <c r="B19" s="72" t="s">
        <v>168</v>
      </c>
      <c r="C19" s="72"/>
      <c r="D19" s="72"/>
      <c r="E19" s="180">
        <f>-(E16+E8*E17+E8*E18)</f>
        <v>-196557.91014823312</v>
      </c>
      <c r="F19" s="180">
        <f t="shared" ref="F19:K19" si="6">-(F16+F8*F17+F8*F18)</f>
        <v>-203555.71441484481</v>
      </c>
      <c r="G19" s="180">
        <f t="shared" si="6"/>
        <v>-71593.780219780223</v>
      </c>
      <c r="H19" s="180">
        <f t="shared" si="6"/>
        <v>-109897.51045808312</v>
      </c>
      <c r="I19" s="180">
        <f t="shared" si="6"/>
        <v>-90971.355435522957</v>
      </c>
      <c r="J19" s="180">
        <f t="shared" si="6"/>
        <v>-158577.55033717083</v>
      </c>
      <c r="K19" s="180">
        <f t="shared" si="6"/>
        <v>-86583.551748089842</v>
      </c>
      <c r="L19" s="152">
        <f t="shared" ref="L19:L22" si="7">SUM(E19:K19)</f>
        <v>-917737.37276172498</v>
      </c>
      <c r="M19" s="188" t="s">
        <v>186</v>
      </c>
      <c r="N19" s="93"/>
      <c r="O19" s="93"/>
      <c r="P19" s="93"/>
      <c r="Q19" s="93"/>
      <c r="R19" s="93"/>
    </row>
    <row r="20" spans="2:18" ht="17.25" customHeight="1" thickBot="1">
      <c r="B20" s="154" t="s">
        <v>176</v>
      </c>
      <c r="C20" s="155"/>
      <c r="D20" s="155"/>
      <c r="E20" s="181">
        <f>E15+E19</f>
        <v>86042.089851766883</v>
      </c>
      <c r="F20" s="181">
        <f t="shared" ref="F20:K20" si="8">F15+F19</f>
        <v>47644.285585155187</v>
      </c>
      <c r="G20" s="181">
        <f t="shared" si="8"/>
        <v>35166.219780219777</v>
      </c>
      <c r="H20" s="181">
        <f t="shared" si="8"/>
        <v>15702.489541916875</v>
      </c>
      <c r="I20" s="181">
        <f t="shared" si="8"/>
        <v>34628.644564477043</v>
      </c>
      <c r="J20" s="181">
        <f t="shared" si="8"/>
        <v>61222.449662829167</v>
      </c>
      <c r="K20" s="182">
        <f t="shared" si="8"/>
        <v>39016.448251910158</v>
      </c>
      <c r="L20" s="186">
        <f t="shared" si="7"/>
        <v>319422.62723827508</v>
      </c>
      <c r="M20" s="152">
        <f>L20/80</f>
        <v>3992.7828404784386</v>
      </c>
      <c r="N20" s="93"/>
      <c r="O20" s="93"/>
      <c r="P20" s="93"/>
      <c r="Q20" s="93"/>
      <c r="R20" s="93"/>
    </row>
    <row r="21" spans="2:18" ht="15.75" thickBot="1">
      <c r="B21" s="44" t="s">
        <v>183</v>
      </c>
      <c r="C21" s="93"/>
      <c r="D21" s="93"/>
      <c r="E21" s="178">
        <f>E20/E15</f>
        <v>0.304465993813754</v>
      </c>
      <c r="F21" s="178">
        <f t="shared" ref="F21:L21" si="9">F20/F15</f>
        <v>0.18966674197912098</v>
      </c>
      <c r="G21" s="178">
        <f t="shared" si="9"/>
        <v>0.32939508973604137</v>
      </c>
      <c r="H21" s="178">
        <f t="shared" si="9"/>
        <v>0.12501982119360569</v>
      </c>
      <c r="I21" s="178">
        <f t="shared" si="9"/>
        <v>0.27570576882545417</v>
      </c>
      <c r="J21" s="178">
        <f t="shared" si="9"/>
        <v>0.27853707762888613</v>
      </c>
      <c r="K21" s="178">
        <f t="shared" si="9"/>
        <v>0.31064051155979427</v>
      </c>
      <c r="L21" s="178">
        <f t="shared" si="9"/>
        <v>0.25819023185220591</v>
      </c>
      <c r="M21" s="152"/>
      <c r="N21" s="93"/>
      <c r="O21" s="93"/>
      <c r="P21" s="93"/>
      <c r="Q21" s="93"/>
      <c r="R21" s="93"/>
    </row>
    <row r="22" spans="2:18" ht="19.5" customHeight="1" thickBot="1">
      <c r="B22" s="154" t="s">
        <v>184</v>
      </c>
      <c r="C22" s="155"/>
      <c r="D22" s="155"/>
      <c r="E22" s="181">
        <f>E20-E13</f>
        <v>78042.089851766883</v>
      </c>
      <c r="F22" s="181">
        <f t="shared" ref="F22:K22" si="10">F20-F13</f>
        <v>40644.285585155187</v>
      </c>
      <c r="G22" s="181">
        <f t="shared" si="10"/>
        <v>33366.219780219777</v>
      </c>
      <c r="H22" s="181">
        <f t="shared" si="10"/>
        <v>13702.489541916875</v>
      </c>
      <c r="I22" s="181">
        <f t="shared" si="10"/>
        <v>30628.644564477043</v>
      </c>
      <c r="J22" s="181">
        <f t="shared" si="10"/>
        <v>53222.449662829167</v>
      </c>
      <c r="K22" s="182">
        <f t="shared" si="10"/>
        <v>34016.448251910158</v>
      </c>
      <c r="L22" s="185">
        <f t="shared" si="7"/>
        <v>283622.62723827508</v>
      </c>
      <c r="M22" s="152">
        <f t="shared" ref="M22" si="11">L22/80</f>
        <v>3545.2828404784386</v>
      </c>
      <c r="N22" s="93"/>
      <c r="O22" s="93"/>
      <c r="P22" s="93"/>
      <c r="Q22" s="93"/>
      <c r="R22" s="93"/>
    </row>
    <row r="23" spans="2:18">
      <c r="B23" s="168" t="s">
        <v>188</v>
      </c>
      <c r="C23" s="175"/>
      <c r="D23" s="175"/>
      <c r="E23" s="176">
        <f>E22/E15</f>
        <v>0.27615743047334351</v>
      </c>
      <c r="F23" s="176">
        <f t="shared" ref="F23:L23" si="12">F22/F15</f>
        <v>0.1618004999409044</v>
      </c>
      <c r="G23" s="176">
        <f t="shared" si="12"/>
        <v>0.31253484245241453</v>
      </c>
      <c r="H23" s="176">
        <f t="shared" si="12"/>
        <v>0.1090962543146248</v>
      </c>
      <c r="I23" s="176">
        <f t="shared" si="12"/>
        <v>0.24385863506749239</v>
      </c>
      <c r="J23" s="176">
        <f t="shared" si="12"/>
        <v>0.24214035333407263</v>
      </c>
      <c r="K23" s="189">
        <f t="shared" si="12"/>
        <v>0.270831594362342</v>
      </c>
      <c r="L23" s="189">
        <f t="shared" si="12"/>
        <v>0.22925298848837261</v>
      </c>
      <c r="M23" s="153"/>
      <c r="N23" s="93"/>
      <c r="O23" s="93"/>
      <c r="P23" s="93"/>
      <c r="Q23" s="93"/>
      <c r="R23" s="93"/>
    </row>
    <row r="24" spans="2:18" ht="16.5" customHeight="1">
      <c r="B24" s="93"/>
      <c r="C24" s="93"/>
      <c r="D24" s="93"/>
      <c r="E24" s="93"/>
      <c r="F24" s="93"/>
      <c r="G24" s="93"/>
      <c r="H24" s="93"/>
      <c r="I24" s="93"/>
      <c r="J24" s="93"/>
      <c r="K24" s="187" t="s">
        <v>187</v>
      </c>
      <c r="L24" s="187">
        <f>L20-L22</f>
        <v>35800</v>
      </c>
      <c r="M24" s="187">
        <f>M20-M22</f>
        <v>447.5</v>
      </c>
      <c r="N24" s="93"/>
      <c r="O24" s="93"/>
      <c r="P24" s="93"/>
      <c r="Q24" s="93"/>
      <c r="R24" s="93"/>
    </row>
    <row r="25" spans="2:18">
      <c r="B25" s="93"/>
      <c r="C25" s="93"/>
      <c r="D25" s="93"/>
      <c r="E25" s="93"/>
      <c r="F25" s="93"/>
      <c r="G25" s="93"/>
      <c r="H25" s="93"/>
      <c r="I25" s="93"/>
      <c r="J25" s="93"/>
      <c r="K25" s="187"/>
      <c r="L25" s="187"/>
      <c r="M25" s="187"/>
      <c r="N25" s="93"/>
      <c r="O25" s="93"/>
      <c r="P25" s="93"/>
      <c r="Q25" s="93"/>
      <c r="R25" s="93"/>
    </row>
    <row r="26" spans="2:18" ht="17.25" customHeight="1">
      <c r="B26" s="93"/>
      <c r="C26" s="93"/>
      <c r="D26" s="93"/>
      <c r="E26" s="93"/>
      <c r="F26" s="93"/>
      <c r="G26" s="93"/>
      <c r="H26" s="93"/>
      <c r="I26" s="93"/>
      <c r="J26" s="93"/>
      <c r="K26" s="187"/>
      <c r="L26" s="187"/>
      <c r="M26" s="187"/>
      <c r="N26" s="93"/>
      <c r="O26" s="93"/>
      <c r="P26" s="93"/>
      <c r="Q26" s="93"/>
      <c r="R26" s="93"/>
    </row>
    <row r="27" spans="2:18"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</row>
    <row r="28" spans="2:18"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</row>
    <row r="29" spans="2:18"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</row>
    <row r="30" spans="2:18"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</row>
    <row r="31" spans="2:18"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</row>
    <row r="32" spans="2:18"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</row>
    <row r="33" spans="2:14"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</row>
    <row r="34" spans="2:14"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</row>
    <row r="35" spans="2:14"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</row>
    <row r="36" spans="2:14"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</row>
    <row r="37" spans="2:14"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</row>
    <row r="38" spans="2:14"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</row>
    <row r="39" spans="2:14"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</row>
    <row r="40" spans="2:14"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</row>
    <row r="41" spans="2:14"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</row>
    <row r="42" spans="2:14"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</row>
    <row r="43" spans="2:14"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</row>
    <row r="44" spans="2:14"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</row>
    <row r="45" spans="2:14"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</row>
    <row r="46" spans="2:14"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</row>
    <row r="47" spans="2:14"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</row>
    <row r="48" spans="2:14"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</row>
    <row r="49" spans="2:14"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</row>
    <row r="50" spans="2:14"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</row>
    <row r="51" spans="2:14"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</row>
    <row r="52" spans="2:14"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</row>
    <row r="53" spans="2:14"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B627-2405-4239-B41A-6D23EFDBAD82}">
  <dimension ref="B2:M23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O7" sqref="O7"/>
    </sheetView>
  </sheetViews>
  <sheetFormatPr defaultRowHeight="15"/>
  <cols>
    <col min="1" max="1" width="5.42578125" customWidth="1"/>
    <col min="2" max="2" width="15.42578125" customWidth="1"/>
    <col min="3" max="4" width="8.85546875" customWidth="1"/>
    <col min="5" max="5" width="10" customWidth="1"/>
    <col min="7" max="7" width="10" customWidth="1"/>
    <col min="8" max="8" width="17.28515625" customWidth="1"/>
    <col min="9" max="9" width="17" customWidth="1"/>
    <col min="10" max="10" width="10" customWidth="1"/>
    <col min="11" max="11" width="10.7109375" customWidth="1"/>
  </cols>
  <sheetData>
    <row r="2" spans="2:12" ht="17.25" customHeight="1">
      <c r="B2" s="190" t="s">
        <v>191</v>
      </c>
      <c r="C2" s="143"/>
      <c r="D2" s="44" t="s">
        <v>198</v>
      </c>
    </row>
    <row r="3" spans="2:12" ht="15.75">
      <c r="B3" s="143"/>
      <c r="D3" s="144" t="s">
        <v>4</v>
      </c>
      <c r="E3" s="144" t="s">
        <v>46</v>
      </c>
      <c r="F3" s="144" t="s">
        <v>17</v>
      </c>
      <c r="G3" s="144" t="s">
        <v>27</v>
      </c>
      <c r="H3" s="144" t="s">
        <v>34</v>
      </c>
      <c r="I3" s="144" t="s">
        <v>40</v>
      </c>
      <c r="J3" s="144" t="s">
        <v>123</v>
      </c>
      <c r="K3" s="144" t="s">
        <v>53</v>
      </c>
      <c r="L3" s="144" t="s">
        <v>92</v>
      </c>
    </row>
    <row r="4" spans="2:12" ht="12.75" customHeight="1">
      <c r="B4" s="143"/>
      <c r="C4" s="45"/>
    </row>
    <row r="5" spans="2:12">
      <c r="B5" s="149" t="s">
        <v>197</v>
      </c>
      <c r="D5" s="191">
        <v>3</v>
      </c>
      <c r="E5" s="192">
        <v>2</v>
      </c>
      <c r="F5" s="192">
        <v>2</v>
      </c>
      <c r="G5" s="192">
        <v>2</v>
      </c>
      <c r="H5" s="192">
        <v>1</v>
      </c>
      <c r="I5" s="192">
        <v>1</v>
      </c>
      <c r="J5" s="192">
        <v>1</v>
      </c>
      <c r="K5" s="193">
        <v>1</v>
      </c>
      <c r="L5" s="193">
        <f>SUM(D5:K5)</f>
        <v>13</v>
      </c>
    </row>
    <row r="6" spans="2:12">
      <c r="B6" s="45" t="s">
        <v>192</v>
      </c>
    </row>
    <row r="7" spans="2:12">
      <c r="B7" t="s">
        <v>193</v>
      </c>
      <c r="D7" s="162">
        <v>2</v>
      </c>
      <c r="E7" s="139">
        <v>1</v>
      </c>
      <c r="F7" s="139">
        <v>1</v>
      </c>
      <c r="G7" s="139"/>
      <c r="H7" s="139"/>
      <c r="I7" s="139"/>
      <c r="J7" s="139"/>
      <c r="K7" s="139"/>
      <c r="L7" s="57">
        <f t="shared" ref="L7:L10" si="0">SUM(D7:K7)</f>
        <v>4</v>
      </c>
    </row>
    <row r="8" spans="2:12">
      <c r="B8" t="s">
        <v>194</v>
      </c>
      <c r="D8" s="164"/>
      <c r="E8" s="157"/>
      <c r="F8" s="157"/>
      <c r="G8" s="157">
        <v>3</v>
      </c>
      <c r="H8" s="157"/>
      <c r="I8" s="157"/>
      <c r="J8" s="157"/>
      <c r="K8" s="157"/>
      <c r="L8" s="194">
        <f t="shared" si="0"/>
        <v>3</v>
      </c>
    </row>
    <row r="9" spans="2:12">
      <c r="B9" t="s">
        <v>195</v>
      </c>
      <c r="D9" s="164"/>
      <c r="E9" s="157"/>
      <c r="F9" s="157"/>
      <c r="G9" s="157"/>
      <c r="H9" s="157">
        <v>2</v>
      </c>
      <c r="I9" s="157">
        <v>1</v>
      </c>
      <c r="J9" s="157"/>
      <c r="K9" s="157"/>
      <c r="L9" s="194">
        <f t="shared" si="0"/>
        <v>3</v>
      </c>
    </row>
    <row r="10" spans="2:12">
      <c r="B10" t="s">
        <v>196</v>
      </c>
      <c r="C10" s="45"/>
      <c r="D10" s="163"/>
      <c r="E10" s="141"/>
      <c r="F10" s="141"/>
      <c r="G10" s="141"/>
      <c r="H10" s="141"/>
      <c r="I10" s="141"/>
      <c r="J10" s="141">
        <v>1</v>
      </c>
      <c r="K10" s="141">
        <v>2</v>
      </c>
      <c r="L10" s="195">
        <f t="shared" si="0"/>
        <v>3</v>
      </c>
    </row>
    <row r="11" spans="2:12" ht="9.75" customHeight="1"/>
    <row r="12" spans="2:12">
      <c r="B12" s="45" t="s">
        <v>199</v>
      </c>
    </row>
    <row r="13" spans="2:12">
      <c r="B13" t="s">
        <v>193</v>
      </c>
      <c r="D13" s="197">
        <v>2</v>
      </c>
      <c r="E13" s="198">
        <v>1</v>
      </c>
      <c r="F13" s="198">
        <v>1</v>
      </c>
      <c r="G13" s="198"/>
      <c r="H13" s="198"/>
      <c r="I13" s="198"/>
      <c r="J13" s="198"/>
      <c r="K13" s="198"/>
      <c r="L13" s="57">
        <f t="shared" ref="L13:L16" si="1">SUM(D13:K13)</f>
        <v>4</v>
      </c>
    </row>
    <row r="14" spans="2:12">
      <c r="B14" t="s">
        <v>194</v>
      </c>
      <c r="D14" s="199"/>
      <c r="E14" s="200"/>
      <c r="F14" s="200"/>
      <c r="G14" s="200">
        <v>3</v>
      </c>
      <c r="H14" s="200"/>
      <c r="I14" s="200"/>
      <c r="J14" s="200"/>
      <c r="K14" s="200"/>
      <c r="L14" s="194">
        <f t="shared" si="1"/>
        <v>3</v>
      </c>
    </row>
    <row r="15" spans="2:12">
      <c r="B15" t="s">
        <v>195</v>
      </c>
      <c r="D15" s="199"/>
      <c r="E15" s="200"/>
      <c r="F15" s="200"/>
      <c r="G15" s="200"/>
      <c r="H15" s="200">
        <v>2</v>
      </c>
      <c r="I15" s="200">
        <v>1</v>
      </c>
      <c r="J15" s="200"/>
      <c r="K15" s="200"/>
      <c r="L15" s="194">
        <f t="shared" si="1"/>
        <v>3</v>
      </c>
    </row>
    <row r="16" spans="2:12">
      <c r="B16" t="s">
        <v>196</v>
      </c>
      <c r="C16" s="45"/>
      <c r="D16" s="201"/>
      <c r="E16" s="202"/>
      <c r="F16" s="202"/>
      <c r="G16" s="202"/>
      <c r="H16" s="202"/>
      <c r="I16" s="202"/>
      <c r="J16" s="202">
        <v>1</v>
      </c>
      <c r="K16" s="202">
        <v>2</v>
      </c>
      <c r="L16" s="195">
        <f t="shared" si="1"/>
        <v>3</v>
      </c>
    </row>
    <row r="17" spans="2:13" ht="11.25" customHeight="1">
      <c r="C17" s="45"/>
      <c r="D17" s="157"/>
      <c r="E17" s="157"/>
      <c r="F17" s="157"/>
      <c r="G17" s="157"/>
      <c r="H17" s="157"/>
      <c r="I17" s="157"/>
      <c r="J17" s="157"/>
      <c r="K17" s="157"/>
      <c r="L17" s="157"/>
    </row>
    <row r="18" spans="2:13">
      <c r="B18" s="45" t="s">
        <v>189</v>
      </c>
      <c r="C18" s="219" t="s">
        <v>201</v>
      </c>
      <c r="D18" s="145"/>
      <c r="E18" s="145"/>
      <c r="F18" s="145"/>
      <c r="G18" s="145"/>
      <c r="H18" s="145"/>
      <c r="I18" s="145"/>
      <c r="J18" s="145"/>
      <c r="K18" s="145"/>
      <c r="L18" s="145"/>
    </row>
    <row r="19" spans="2:13">
      <c r="B19" t="s">
        <v>193</v>
      </c>
      <c r="C19" s="196">
        <v>500</v>
      </c>
      <c r="D19" s="207">
        <f>$C$19*D13</f>
        <v>1000</v>
      </c>
      <c r="E19" s="208">
        <f t="shared" ref="E19:F19" si="2">$C$19*E13</f>
        <v>500</v>
      </c>
      <c r="F19" s="208">
        <f t="shared" si="2"/>
        <v>500</v>
      </c>
      <c r="G19" s="208"/>
      <c r="H19" s="208"/>
      <c r="I19" s="208"/>
      <c r="J19" s="208"/>
      <c r="K19" s="209"/>
      <c r="L19" s="210">
        <f t="shared" ref="L19:L22" si="3">SUM(D19:K19)</f>
        <v>2000</v>
      </c>
    </row>
    <row r="20" spans="2:13">
      <c r="B20" t="s">
        <v>194</v>
      </c>
      <c r="C20" s="196">
        <v>500</v>
      </c>
      <c r="D20" s="211"/>
      <c r="E20" s="212"/>
      <c r="F20" s="212"/>
      <c r="G20" s="212">
        <f>$C$20*G14</f>
        <v>1500</v>
      </c>
      <c r="H20" s="212"/>
      <c r="I20" s="212"/>
      <c r="J20" s="212"/>
      <c r="K20" s="213"/>
      <c r="L20" s="214">
        <f t="shared" si="3"/>
        <v>1500</v>
      </c>
    </row>
    <row r="21" spans="2:13">
      <c r="B21" t="s">
        <v>195</v>
      </c>
      <c r="C21" s="196">
        <v>500</v>
      </c>
      <c r="D21" s="211"/>
      <c r="E21" s="212"/>
      <c r="F21" s="212"/>
      <c r="G21" s="212"/>
      <c r="H21" s="212">
        <f>$C$21*H15</f>
        <v>1000</v>
      </c>
      <c r="I21" s="212">
        <f>$C$21*I15</f>
        <v>500</v>
      </c>
      <c r="J21" s="212"/>
      <c r="K21" s="213"/>
      <c r="L21" s="214">
        <f t="shared" si="3"/>
        <v>1500</v>
      </c>
    </row>
    <row r="22" spans="2:13">
      <c r="B22" t="s">
        <v>196</v>
      </c>
      <c r="C22" s="196">
        <v>500</v>
      </c>
      <c r="D22" s="215"/>
      <c r="E22" s="216"/>
      <c r="F22" s="216"/>
      <c r="G22" s="216"/>
      <c r="H22" s="216"/>
      <c r="I22" s="216"/>
      <c r="J22" s="216">
        <f>$C$22*J16</f>
        <v>500</v>
      </c>
      <c r="K22" s="217">
        <f>$C$22*K16</f>
        <v>1000</v>
      </c>
      <c r="L22" s="218">
        <f t="shared" si="3"/>
        <v>1500</v>
      </c>
      <c r="M22" s="219" t="s">
        <v>200</v>
      </c>
    </row>
    <row r="23" spans="2:13">
      <c r="L23" s="220">
        <f>SUM(L19:L22)</f>
        <v>6500</v>
      </c>
      <c r="M23" s="221">
        <f>L23/80</f>
        <v>81.25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5ACCF-D3E9-439B-9E7E-B1BEF26E927E}">
  <sheetPr codeName="Sheet2"/>
  <dimension ref="B1:L3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1" sqref="C31:J37"/>
    </sheetView>
  </sheetViews>
  <sheetFormatPr defaultRowHeight="15"/>
  <cols>
    <col min="1" max="1" width="2.28515625" customWidth="1"/>
    <col min="2" max="2" width="18.85546875" customWidth="1"/>
    <col min="3" max="3" width="15.5703125" customWidth="1"/>
    <col min="4" max="4" width="12.7109375" customWidth="1"/>
    <col min="5" max="5" width="12.28515625" customWidth="1"/>
    <col min="6" max="6" width="12.7109375" customWidth="1"/>
    <col min="7" max="7" width="15.5703125" customWidth="1"/>
    <col min="8" max="8" width="16" customWidth="1"/>
    <col min="9" max="10" width="12.7109375" customWidth="1"/>
  </cols>
  <sheetData>
    <row r="1" spans="2:12" ht="6" customHeight="1"/>
    <row r="2" spans="2:12" ht="27.75" customHeight="1">
      <c r="B2" s="143" t="s">
        <v>137</v>
      </c>
      <c r="C2" s="143"/>
    </row>
    <row r="3" spans="2:12">
      <c r="D3" s="144" t="s">
        <v>4</v>
      </c>
      <c r="E3" s="144" t="s">
        <v>17</v>
      </c>
      <c r="F3" s="144" t="s">
        <v>27</v>
      </c>
      <c r="G3" s="144" t="s">
        <v>34</v>
      </c>
      <c r="H3" s="144" t="s">
        <v>40</v>
      </c>
      <c r="I3" s="144" t="s">
        <v>46</v>
      </c>
      <c r="J3" s="144" t="s">
        <v>53</v>
      </c>
    </row>
    <row r="4" spans="2:12">
      <c r="B4" s="45" t="s">
        <v>162</v>
      </c>
      <c r="C4" s="45" t="s">
        <v>164</v>
      </c>
      <c r="L4">
        <v>0.66955799978642638</v>
      </c>
    </row>
    <row r="5" spans="2:12">
      <c r="B5" t="s">
        <v>98</v>
      </c>
      <c r="D5" s="139">
        <v>85000</v>
      </c>
      <c r="E5" s="139">
        <v>70000</v>
      </c>
      <c r="F5" s="139">
        <v>35000</v>
      </c>
      <c r="G5" s="139">
        <v>45000</v>
      </c>
      <c r="H5" s="139">
        <v>35000</v>
      </c>
      <c r="I5" s="139">
        <v>60000</v>
      </c>
      <c r="J5" s="140">
        <v>35000</v>
      </c>
      <c r="L5">
        <v>1.1063101127581458</v>
      </c>
    </row>
    <row r="6" spans="2:12">
      <c r="B6" t="s">
        <v>161</v>
      </c>
      <c r="D6" s="141">
        <v>19965</v>
      </c>
      <c r="E6" s="141">
        <v>21875</v>
      </c>
      <c r="F6" s="141">
        <v>22775</v>
      </c>
      <c r="G6" s="141">
        <v>14020</v>
      </c>
      <c r="H6" s="141">
        <v>17500</v>
      </c>
      <c r="I6" s="141">
        <v>21250</v>
      </c>
      <c r="J6" s="142">
        <v>17500</v>
      </c>
      <c r="L6">
        <v>1.6084464301855605</v>
      </c>
    </row>
    <row r="7" spans="2:12" ht="7.5" customHeight="1">
      <c r="D7" s="157"/>
      <c r="E7" s="157"/>
      <c r="F7" s="157"/>
      <c r="G7" s="157"/>
      <c r="H7" s="157"/>
      <c r="I7" s="157"/>
      <c r="J7" s="157"/>
    </row>
    <row r="8" spans="2:12">
      <c r="B8" t="s">
        <v>173</v>
      </c>
      <c r="C8" s="158">
        <v>0.15</v>
      </c>
      <c r="D8" s="157">
        <f>D26*(1+$C$8)</f>
        <v>54580.784081805927</v>
      </c>
      <c r="E8" s="157">
        <f t="shared" ref="E8:J8" si="0">E26*(1+$C$8)</f>
        <v>55966.459642974063</v>
      </c>
      <c r="F8" s="157">
        <f t="shared" si="0"/>
        <v>22159.464921123737</v>
      </c>
      <c r="G8" s="157">
        <f t="shared" si="0"/>
        <v>36937.365657213253</v>
      </c>
      <c r="H8" s="157">
        <f t="shared" si="0"/>
        <v>27821.952651636897</v>
      </c>
      <c r="I8" s="157">
        <f t="shared" si="0"/>
        <v>44320.888480156624</v>
      </c>
      <c r="J8" s="157">
        <f t="shared" si="0"/>
        <v>26704.954303057784</v>
      </c>
    </row>
    <row r="9" spans="2:12" ht="14.25" customHeight="1">
      <c r="B9" t="s">
        <v>174</v>
      </c>
      <c r="D9" s="157">
        <v>60000</v>
      </c>
      <c r="E9" s="157">
        <v>60000</v>
      </c>
      <c r="F9" s="157">
        <v>25000</v>
      </c>
      <c r="G9" s="157">
        <v>30000</v>
      </c>
      <c r="H9" s="157">
        <v>30000</v>
      </c>
      <c r="I9" s="157">
        <v>45000</v>
      </c>
      <c r="J9" s="157">
        <v>25000</v>
      </c>
    </row>
    <row r="10" spans="2:12">
      <c r="B10" s="45" t="s">
        <v>163</v>
      </c>
      <c r="C10" s="45"/>
      <c r="L10">
        <v>0.74175824175824179</v>
      </c>
    </row>
    <row r="11" spans="2:12">
      <c r="B11" t="s">
        <v>56</v>
      </c>
      <c r="C11" s="16"/>
      <c r="D11" s="147">
        <v>22000</v>
      </c>
      <c r="E11" s="147">
        <v>30000</v>
      </c>
      <c r="F11" s="147">
        <v>17000</v>
      </c>
      <c r="G11" s="147">
        <v>22000</v>
      </c>
      <c r="H11" s="145"/>
      <c r="I11" s="147">
        <v>22000</v>
      </c>
      <c r="J11" s="147">
        <v>22000</v>
      </c>
      <c r="L11">
        <v>1.1364377614520782</v>
      </c>
    </row>
    <row r="12" spans="2:12">
      <c r="B12" t="s">
        <v>7</v>
      </c>
      <c r="C12" s="16"/>
      <c r="D12" s="147">
        <v>11000</v>
      </c>
      <c r="E12" s="147">
        <v>22000</v>
      </c>
      <c r="F12" s="147">
        <v>10000</v>
      </c>
      <c r="G12" s="147">
        <v>10000</v>
      </c>
      <c r="H12" s="147">
        <v>11000</v>
      </c>
      <c r="I12" s="147">
        <v>11000</v>
      </c>
      <c r="J12" s="147">
        <v>11000</v>
      </c>
      <c r="L12">
        <v>0.93828388588807399</v>
      </c>
    </row>
    <row r="13" spans="2:12">
      <c r="B13" t="s">
        <v>7</v>
      </c>
      <c r="C13" s="16"/>
      <c r="D13" s="147">
        <v>11000</v>
      </c>
      <c r="E13" s="147">
        <v>11000</v>
      </c>
      <c r="F13" s="147">
        <v>10000</v>
      </c>
      <c r="G13" s="147">
        <v>11000</v>
      </c>
      <c r="H13" s="147">
        <v>10000</v>
      </c>
      <c r="I13" s="147">
        <v>11000</v>
      </c>
      <c r="J13" s="147">
        <v>11000</v>
      </c>
      <c r="L13">
        <v>1.182965004816726</v>
      </c>
    </row>
    <row r="14" spans="2:12">
      <c r="B14" t="s">
        <v>7</v>
      </c>
      <c r="C14" s="16"/>
      <c r="D14" s="147">
        <v>11000</v>
      </c>
      <c r="E14" s="147">
        <v>11000</v>
      </c>
      <c r="F14" s="145"/>
      <c r="G14" s="147">
        <v>11000</v>
      </c>
      <c r="H14" s="147">
        <v>11000</v>
      </c>
      <c r="I14" s="147">
        <v>11000</v>
      </c>
      <c r="J14" s="147">
        <v>10000</v>
      </c>
      <c r="L14">
        <v>0.8035887937022459</v>
      </c>
    </row>
    <row r="15" spans="2:12">
      <c r="B15" t="s">
        <v>7</v>
      </c>
      <c r="C15" s="16"/>
      <c r="D15" s="147">
        <v>11000</v>
      </c>
      <c r="E15" s="145"/>
      <c r="F15" s="145"/>
      <c r="G15" s="145"/>
      <c r="H15" s="147">
        <v>11000</v>
      </c>
      <c r="I15" s="145"/>
      <c r="J15" s="145"/>
    </row>
    <row r="16" spans="2:12">
      <c r="B16" t="s">
        <v>12</v>
      </c>
      <c r="C16" s="16"/>
      <c r="D16" s="147">
        <v>10000</v>
      </c>
      <c r="E16" s="145"/>
      <c r="F16" s="147">
        <v>9000</v>
      </c>
      <c r="G16" s="147">
        <v>10000</v>
      </c>
      <c r="H16" s="147">
        <v>10000</v>
      </c>
      <c r="I16" s="147">
        <v>10000</v>
      </c>
      <c r="J16" s="145"/>
    </row>
    <row r="17" spans="2:10">
      <c r="B17" t="s">
        <v>14</v>
      </c>
      <c r="C17" s="16"/>
      <c r="D17" s="147">
        <v>10000</v>
      </c>
      <c r="E17" s="145"/>
      <c r="F17" s="145"/>
      <c r="G17" s="145"/>
      <c r="H17" s="145"/>
      <c r="I17" s="147">
        <v>10000</v>
      </c>
      <c r="J17" s="145"/>
    </row>
    <row r="18" spans="2:10">
      <c r="B18" t="s">
        <v>16</v>
      </c>
      <c r="C18" s="16"/>
      <c r="D18" s="148">
        <v>10000</v>
      </c>
      <c r="E18" s="146"/>
      <c r="F18" s="146"/>
      <c r="G18" s="146"/>
      <c r="H18" s="146"/>
      <c r="I18" s="146"/>
      <c r="J18" s="146"/>
    </row>
    <row r="19" spans="2:10">
      <c r="B19" s="44" t="s">
        <v>167</v>
      </c>
      <c r="C19" s="44"/>
      <c r="D19" s="149">
        <f>SUM(D11:D18)</f>
        <v>96000</v>
      </c>
      <c r="E19" s="149">
        <f t="shared" ref="E19:J19" si="1">SUM(E11:E18)</f>
        <v>74000</v>
      </c>
      <c r="F19" s="149">
        <f t="shared" si="1"/>
        <v>46000</v>
      </c>
      <c r="G19" s="149">
        <f t="shared" si="1"/>
        <v>64000</v>
      </c>
      <c r="H19" s="149">
        <f t="shared" si="1"/>
        <v>53000</v>
      </c>
      <c r="I19" s="149">
        <f t="shared" si="1"/>
        <v>75000</v>
      </c>
      <c r="J19" s="149">
        <f t="shared" si="1"/>
        <v>54000</v>
      </c>
    </row>
    <row r="20" spans="2:10">
      <c r="B20" t="s">
        <v>165</v>
      </c>
      <c r="C20" s="158">
        <v>1.0999999999999999E-2</v>
      </c>
      <c r="D20" s="145">
        <v>1.0999999999999999E-2</v>
      </c>
      <c r="E20" s="145">
        <v>1.0999999999999999E-2</v>
      </c>
      <c r="F20" s="145">
        <v>1.0999999999999999E-2</v>
      </c>
      <c r="G20" s="145">
        <v>1.0999999999999999E-2</v>
      </c>
      <c r="H20" s="145">
        <v>1.0999999999999999E-2</v>
      </c>
      <c r="I20" s="145">
        <v>1.0999999999999999E-2</v>
      </c>
      <c r="J20" s="145">
        <v>1.0999999999999999E-2</v>
      </c>
    </row>
    <row r="21" spans="2:10">
      <c r="B21" s="73" t="s">
        <v>166</v>
      </c>
      <c r="C21" s="159" t="s">
        <v>172</v>
      </c>
      <c r="D21" s="151">
        <v>1.1063101127581458</v>
      </c>
      <c r="E21" s="151">
        <v>1.6084464301855601</v>
      </c>
      <c r="F21" s="151">
        <v>0.74175824175824179</v>
      </c>
      <c r="G21" s="151">
        <v>1.1364377614520782</v>
      </c>
      <c r="H21" s="151">
        <v>0.93828388588807399</v>
      </c>
      <c r="I21" s="151">
        <v>1.182965004816726</v>
      </c>
      <c r="J21" s="151">
        <v>0.8035887937022459</v>
      </c>
    </row>
    <row r="22" spans="2:10">
      <c r="B22" s="44" t="s">
        <v>168</v>
      </c>
      <c r="C22" s="44"/>
      <c r="D22" s="152">
        <f t="shared" ref="D22:J22" si="2">-(D19+D26*D20+D26*D21)</f>
        <v>-149029.27131901792</v>
      </c>
      <c r="E22" s="152">
        <f t="shared" si="2"/>
        <v>-152812.76806864224</v>
      </c>
      <c r="F22" s="152">
        <f t="shared" si="2"/>
        <v>-60504.973784633512</v>
      </c>
      <c r="G22" s="152">
        <f t="shared" si="2"/>
        <v>-100855.067968391</v>
      </c>
      <c r="H22" s="152">
        <f t="shared" si="2"/>
        <v>-75966.027240121635</v>
      </c>
      <c r="I22" s="152">
        <f t="shared" si="2"/>
        <v>-121015.29550234068</v>
      </c>
      <c r="J22" s="152">
        <f t="shared" si="2"/>
        <v>-72916.136097044742</v>
      </c>
    </row>
    <row r="24" spans="2:10">
      <c r="B24" s="44" t="s">
        <v>171</v>
      </c>
      <c r="C24" s="160">
        <v>3.14</v>
      </c>
      <c r="D24" s="153">
        <f>D26*$C$24</f>
        <v>149029.27131901795</v>
      </c>
      <c r="E24" s="153">
        <f t="shared" ref="E24:J24" si="3">E26*$C$24</f>
        <v>152812.76806864224</v>
      </c>
      <c r="F24" s="153">
        <f t="shared" si="3"/>
        <v>60504.973784633519</v>
      </c>
      <c r="G24" s="153">
        <f t="shared" si="3"/>
        <v>100855.06796839098</v>
      </c>
      <c r="H24" s="153">
        <f t="shared" si="3"/>
        <v>75966.027240121621</v>
      </c>
      <c r="I24" s="153">
        <f t="shared" si="3"/>
        <v>121015.29550234071</v>
      </c>
      <c r="J24" s="153">
        <f t="shared" si="3"/>
        <v>72916.136097044742</v>
      </c>
    </row>
    <row r="25" spans="2:10" ht="15.75" thickBot="1">
      <c r="C25" s="149"/>
      <c r="D25" s="152"/>
      <c r="E25" s="152"/>
      <c r="F25" s="152"/>
      <c r="G25" s="152"/>
      <c r="H25" s="152"/>
      <c r="I25" s="152"/>
      <c r="J25" s="152"/>
    </row>
    <row r="26" spans="2:10" ht="15.75" thickBot="1">
      <c r="B26" s="154" t="s">
        <v>169</v>
      </c>
      <c r="C26" s="155"/>
      <c r="D26" s="156">
        <v>47461.551375483417</v>
      </c>
      <c r="E26" s="156">
        <v>48666.486646064404</v>
      </c>
      <c r="F26" s="156">
        <v>19269.099931411947</v>
      </c>
      <c r="G26" s="156">
        <v>32119.448397576743</v>
      </c>
      <c r="H26" s="156">
        <v>24193.002305771217</v>
      </c>
      <c r="I26" s="156">
        <v>38539.903026223154</v>
      </c>
      <c r="J26" s="156">
        <v>23221.699393963292</v>
      </c>
    </row>
    <row r="28" spans="2:10">
      <c r="B28" t="s">
        <v>170</v>
      </c>
      <c r="D28" s="150">
        <f>D22+D24</f>
        <v>0</v>
      </c>
      <c r="E28" s="150">
        <f t="shared" ref="E28:J28" si="4">E22+E24</f>
        <v>0</v>
      </c>
      <c r="F28" s="150">
        <f t="shared" si="4"/>
        <v>0</v>
      </c>
      <c r="G28" s="150">
        <f t="shared" si="4"/>
        <v>0</v>
      </c>
      <c r="H28" s="150">
        <f t="shared" si="4"/>
        <v>0</v>
      </c>
      <c r="I28" s="150">
        <f t="shared" si="4"/>
        <v>0</v>
      </c>
      <c r="J28" s="150">
        <f t="shared" si="4"/>
        <v>0</v>
      </c>
    </row>
    <row r="29" spans="2:10">
      <c r="D29">
        <v>50000</v>
      </c>
      <c r="E29">
        <v>50</v>
      </c>
      <c r="F29">
        <v>22</v>
      </c>
      <c r="G29">
        <v>30</v>
      </c>
      <c r="H29">
        <v>30</v>
      </c>
      <c r="I29">
        <v>45</v>
      </c>
      <c r="J29">
        <v>25</v>
      </c>
    </row>
    <row r="30" spans="2:10">
      <c r="D30" s="161">
        <v>38000</v>
      </c>
      <c r="E30" s="161">
        <f t="shared" ref="E30:J30" si="5">E5-E8</f>
        <v>14033.540357025937</v>
      </c>
      <c r="F30" s="161">
        <f t="shared" si="5"/>
        <v>12840.535078876263</v>
      </c>
      <c r="G30" s="161">
        <f t="shared" si="5"/>
        <v>8062.6343427867469</v>
      </c>
      <c r="H30" s="161">
        <f t="shared" si="5"/>
        <v>7178.0473483631031</v>
      </c>
      <c r="I30" s="161">
        <f t="shared" si="5"/>
        <v>15679.111519843376</v>
      </c>
      <c r="J30" s="161">
        <f t="shared" si="5"/>
        <v>8295.0456969422157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reakeven">
                <anchor moveWithCells="1">
                  <from>
                    <xdr:col>2</xdr:col>
                    <xdr:colOff>76200</xdr:colOff>
                    <xdr:row>1</xdr:row>
                    <xdr:rowOff>95250</xdr:rowOff>
                  </from>
                  <to>
                    <xdr:col>2</xdr:col>
                    <xdr:colOff>895350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C87E-D6C1-481D-A7DD-94C5E6637185}">
  <sheetPr codeName="Sheet4"/>
  <dimension ref="A1:DL965"/>
  <sheetViews>
    <sheetView zoomScale="90" zoomScaleNormal="9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D10" sqref="D10"/>
    </sheetView>
  </sheetViews>
  <sheetFormatPr defaultColWidth="15.140625" defaultRowHeight="60.75" customHeight="1"/>
  <cols>
    <col min="1" max="1" width="18.42578125" style="8" customWidth="1"/>
    <col min="2" max="2" width="26.140625" style="8" customWidth="1"/>
    <col min="3" max="3" width="25.140625" style="23" customWidth="1"/>
    <col min="4" max="4" width="19" style="8" customWidth="1"/>
    <col min="5" max="5" width="17" style="8" customWidth="1"/>
    <col min="6" max="6" width="15.140625" style="8"/>
    <col min="7" max="7" width="16.42578125" style="8" customWidth="1"/>
    <col min="8" max="8" width="16.140625" style="8" customWidth="1"/>
    <col min="9" max="114" width="15.140625" style="8"/>
    <col min="115" max="116" width="15.140625" style="14"/>
    <col min="117" max="16384" width="15.140625" style="8"/>
  </cols>
  <sheetData>
    <row r="1" spans="1:10" s="3" customFormat="1" ht="36" customHeight="1">
      <c r="A1" s="1" t="s">
        <v>0</v>
      </c>
      <c r="B1" s="1" t="s">
        <v>1</v>
      </c>
      <c r="C1" s="2" t="s">
        <v>2</v>
      </c>
      <c r="D1" s="1" t="s">
        <v>3</v>
      </c>
      <c r="E1" s="3" t="s">
        <v>94</v>
      </c>
      <c r="H1" s="3" t="s">
        <v>131</v>
      </c>
      <c r="I1" s="3" t="s">
        <v>115</v>
      </c>
    </row>
    <row r="2" spans="1:10" s="7" customFormat="1" ht="15" customHeight="1">
      <c r="A2" s="4" t="s">
        <v>4</v>
      </c>
      <c r="B2" s="4" t="s">
        <v>5</v>
      </c>
      <c r="C2" s="5" t="s">
        <v>56</v>
      </c>
      <c r="D2" s="6">
        <v>22000</v>
      </c>
      <c r="E2" s="3" t="s">
        <v>98</v>
      </c>
      <c r="F2" s="3" t="s">
        <v>99</v>
      </c>
      <c r="G2" s="3" t="s">
        <v>100</v>
      </c>
      <c r="H2" s="64">
        <v>88465.650000000009</v>
      </c>
    </row>
    <row r="3" spans="1:10" ht="15" customHeight="1">
      <c r="A3" s="4" t="s">
        <v>4</v>
      </c>
      <c r="B3" s="4" t="s">
        <v>6</v>
      </c>
      <c r="C3" s="5" t="s">
        <v>7</v>
      </c>
      <c r="D3" s="6">
        <v>11000</v>
      </c>
      <c r="E3" s="3"/>
      <c r="F3" s="3"/>
      <c r="G3" s="3"/>
      <c r="J3" s="8" t="s">
        <v>17</v>
      </c>
    </row>
    <row r="4" spans="1:10" s="7" customFormat="1" ht="15" customHeight="1">
      <c r="A4" s="4" t="s">
        <v>4</v>
      </c>
      <c r="B4" s="4" t="s">
        <v>8</v>
      </c>
      <c r="C4" s="5" t="s">
        <v>7</v>
      </c>
      <c r="D4" s="6">
        <v>11000</v>
      </c>
      <c r="E4" s="3"/>
      <c r="F4" s="3"/>
      <c r="G4" s="3"/>
    </row>
    <row r="5" spans="1:10" ht="15" customHeight="1">
      <c r="A5" s="4" t="s">
        <v>4</v>
      </c>
      <c r="B5" s="4" t="s">
        <v>9</v>
      </c>
      <c r="C5" s="5" t="s">
        <v>7</v>
      </c>
      <c r="D5" s="6">
        <v>11000</v>
      </c>
      <c r="E5" s="3"/>
      <c r="F5" s="3"/>
      <c r="G5" s="3"/>
    </row>
    <row r="6" spans="1:10" ht="15" customHeight="1">
      <c r="A6" s="4" t="s">
        <v>4</v>
      </c>
      <c r="B6" s="4" t="s">
        <v>10</v>
      </c>
      <c r="C6" s="5" t="s">
        <v>7</v>
      </c>
      <c r="D6" s="6">
        <v>11000</v>
      </c>
      <c r="E6" s="3"/>
      <c r="F6" s="3"/>
      <c r="G6" s="3"/>
    </row>
    <row r="7" spans="1:10" ht="15" customHeight="1">
      <c r="A7" s="4" t="s">
        <v>4</v>
      </c>
      <c r="B7" s="4" t="s">
        <v>11</v>
      </c>
      <c r="C7" s="5" t="s">
        <v>12</v>
      </c>
      <c r="D7" s="6">
        <v>10000</v>
      </c>
      <c r="E7" s="3"/>
      <c r="F7" s="3"/>
      <c r="G7" s="3"/>
    </row>
    <row r="8" spans="1:10" ht="15" customHeight="1">
      <c r="A8" s="4" t="s">
        <v>4</v>
      </c>
      <c r="B8" s="4" t="s">
        <v>13</v>
      </c>
      <c r="C8" s="5" t="s">
        <v>14</v>
      </c>
      <c r="D8" s="6">
        <v>10000</v>
      </c>
      <c r="E8" s="3"/>
      <c r="F8" s="3"/>
      <c r="G8" s="3"/>
    </row>
    <row r="9" spans="1:10" ht="15" customHeight="1">
      <c r="A9" s="4" t="s">
        <v>4</v>
      </c>
      <c r="B9" s="4" t="s">
        <v>15</v>
      </c>
      <c r="C9" s="5" t="s">
        <v>16</v>
      </c>
      <c r="D9" s="6">
        <v>10000</v>
      </c>
      <c r="E9" s="3"/>
      <c r="F9" s="3"/>
      <c r="G9" s="3"/>
    </row>
    <row r="10" spans="1:10" s="7" customFormat="1" ht="15" customHeight="1">
      <c r="A10" s="4" t="s">
        <v>17</v>
      </c>
      <c r="B10" s="4" t="s">
        <v>18</v>
      </c>
      <c r="C10" s="5" t="s">
        <v>19</v>
      </c>
      <c r="D10" s="6">
        <v>30000</v>
      </c>
      <c r="E10" s="3" t="s">
        <v>102</v>
      </c>
      <c r="F10" s="3"/>
      <c r="G10" s="3"/>
    </row>
    <row r="11" spans="1:10" ht="15" customHeight="1">
      <c r="A11" s="4" t="s">
        <v>17</v>
      </c>
      <c r="B11" s="4" t="s">
        <v>20</v>
      </c>
      <c r="C11" s="5" t="s">
        <v>7</v>
      </c>
      <c r="D11" s="6">
        <v>11000</v>
      </c>
      <c r="E11" s="3"/>
      <c r="F11" s="3"/>
      <c r="G11" s="3"/>
    </row>
    <row r="12" spans="1:10" ht="15" customHeight="1">
      <c r="A12" s="4" t="s">
        <v>17</v>
      </c>
      <c r="B12" s="4" t="s">
        <v>21</v>
      </c>
      <c r="C12" s="5" t="s">
        <v>7</v>
      </c>
      <c r="D12" s="6">
        <v>11000</v>
      </c>
      <c r="E12" s="3"/>
      <c r="F12" s="3"/>
      <c r="G12" s="3"/>
    </row>
    <row r="13" spans="1:10" ht="15" customHeight="1">
      <c r="A13" s="4" t="s">
        <v>17</v>
      </c>
      <c r="B13" s="4" t="s">
        <v>22</v>
      </c>
      <c r="C13" s="5" t="s">
        <v>56</v>
      </c>
      <c r="D13" s="6">
        <v>22000</v>
      </c>
      <c r="E13" s="3" t="s">
        <v>98</v>
      </c>
      <c r="F13" s="3" t="s">
        <v>99</v>
      </c>
      <c r="G13" s="3" t="s">
        <v>100</v>
      </c>
      <c r="H13" s="65">
        <v>70000</v>
      </c>
    </row>
    <row r="14" spans="1:10" ht="15" customHeight="1">
      <c r="A14" s="4" t="s">
        <v>23</v>
      </c>
      <c r="B14" s="4" t="s">
        <v>24</v>
      </c>
      <c r="C14" s="5" t="s">
        <v>16</v>
      </c>
      <c r="D14" s="6">
        <v>10000</v>
      </c>
      <c r="E14" s="3"/>
      <c r="F14" s="3"/>
      <c r="G14" s="3"/>
    </row>
    <row r="15" spans="1:10" ht="15" customHeight="1">
      <c r="A15" s="4" t="s">
        <v>25</v>
      </c>
      <c r="B15" s="4" t="s">
        <v>26</v>
      </c>
      <c r="C15" s="5" t="s">
        <v>16</v>
      </c>
      <c r="D15" s="6">
        <v>10000</v>
      </c>
      <c r="E15" s="3"/>
      <c r="F15" s="3"/>
      <c r="G15" s="3"/>
    </row>
    <row r="16" spans="1:10" s="7" customFormat="1" ht="15" customHeight="1">
      <c r="A16" s="4" t="s">
        <v>27</v>
      </c>
      <c r="B16" s="4" t="s">
        <v>28</v>
      </c>
      <c r="C16" s="5" t="s">
        <v>29</v>
      </c>
      <c r="D16" s="6">
        <v>17000</v>
      </c>
      <c r="E16" s="3" t="s">
        <v>98</v>
      </c>
      <c r="F16" s="3" t="s">
        <v>99</v>
      </c>
      <c r="G16" s="3" t="s">
        <v>100</v>
      </c>
      <c r="H16" s="65">
        <v>29087.100000000002</v>
      </c>
    </row>
    <row r="17" spans="1:10" ht="15" customHeight="1">
      <c r="A17" s="4" t="s">
        <v>27</v>
      </c>
      <c r="B17" s="4" t="s">
        <v>30</v>
      </c>
      <c r="C17" s="5" t="s">
        <v>14</v>
      </c>
      <c r="D17" s="6">
        <v>10000</v>
      </c>
      <c r="E17" s="3"/>
      <c r="F17" s="3"/>
      <c r="G17" s="3"/>
    </row>
    <row r="18" spans="1:10" s="7" customFormat="1" ht="15" customHeight="1">
      <c r="A18" s="4" t="s">
        <v>27</v>
      </c>
      <c r="B18" s="4" t="s">
        <v>31</v>
      </c>
      <c r="C18" s="5" t="s">
        <v>16</v>
      </c>
      <c r="D18" s="6">
        <v>10000</v>
      </c>
      <c r="E18" s="3"/>
      <c r="F18" s="3"/>
      <c r="G18" s="3"/>
    </row>
    <row r="19" spans="1:10" ht="15" customHeight="1">
      <c r="A19" s="9" t="s">
        <v>27</v>
      </c>
      <c r="B19" s="9" t="s">
        <v>32</v>
      </c>
      <c r="C19" s="10" t="s">
        <v>7</v>
      </c>
      <c r="D19" s="11">
        <v>9000</v>
      </c>
      <c r="E19" s="3"/>
      <c r="F19" s="3"/>
      <c r="G19" s="3"/>
    </row>
    <row r="20" spans="1:10" ht="15" customHeight="1">
      <c r="A20" s="9" t="s">
        <v>59</v>
      </c>
      <c r="B20" s="9" t="s">
        <v>60</v>
      </c>
      <c r="C20" s="10" t="s">
        <v>61</v>
      </c>
      <c r="D20" s="18">
        <v>28833</v>
      </c>
      <c r="E20" s="3" t="s">
        <v>98</v>
      </c>
      <c r="F20" s="3" t="s">
        <v>105</v>
      </c>
      <c r="G20" s="3"/>
      <c r="H20" s="8">
        <f>H2+J31+H16+H13</f>
        <v>247552.75000000003</v>
      </c>
    </row>
    <row r="21" spans="1:10" ht="15" customHeight="1">
      <c r="A21" s="4" t="s">
        <v>34</v>
      </c>
      <c r="B21" s="15" t="s">
        <v>35</v>
      </c>
      <c r="C21" s="16" t="s">
        <v>56</v>
      </c>
      <c r="D21" s="8">
        <v>22000</v>
      </c>
      <c r="E21" s="3" t="s">
        <v>98</v>
      </c>
      <c r="F21" s="3" t="s">
        <v>99</v>
      </c>
      <c r="G21" s="3" t="s">
        <v>100</v>
      </c>
      <c r="I21" s="8" t="s">
        <v>25</v>
      </c>
      <c r="J21" s="65">
        <v>0</v>
      </c>
    </row>
    <row r="22" spans="1:10" ht="15" customHeight="1">
      <c r="A22" s="4" t="s">
        <v>34</v>
      </c>
      <c r="B22" s="4" t="s">
        <v>36</v>
      </c>
      <c r="C22" s="5" t="s">
        <v>37</v>
      </c>
      <c r="D22" s="6">
        <v>10000</v>
      </c>
      <c r="E22" s="3"/>
      <c r="F22" s="3"/>
      <c r="G22" s="3"/>
    </row>
    <row r="23" spans="1:10" ht="17.25" customHeight="1">
      <c r="A23" s="4" t="s">
        <v>34</v>
      </c>
      <c r="B23" s="4" t="s">
        <v>130</v>
      </c>
      <c r="C23" s="5" t="s">
        <v>7</v>
      </c>
      <c r="D23" s="6">
        <v>11000</v>
      </c>
      <c r="E23" s="3"/>
      <c r="F23" s="3"/>
      <c r="G23" s="3"/>
    </row>
    <row r="24" spans="1:10" ht="17.25" customHeight="1">
      <c r="A24" s="4" t="s">
        <v>34</v>
      </c>
      <c r="B24" s="4" t="s">
        <v>38</v>
      </c>
      <c r="C24" s="5" t="s">
        <v>7</v>
      </c>
      <c r="D24" s="6">
        <v>11000</v>
      </c>
      <c r="E24" s="3"/>
      <c r="F24" s="3"/>
      <c r="G24" s="3"/>
    </row>
    <row r="25" spans="1:10" ht="17.25" customHeight="1">
      <c r="A25" s="4" t="s">
        <v>34</v>
      </c>
      <c r="B25" s="4" t="s">
        <v>39</v>
      </c>
      <c r="C25" s="5" t="s">
        <v>16</v>
      </c>
      <c r="D25" s="6">
        <v>10000</v>
      </c>
      <c r="E25" s="3"/>
      <c r="F25" s="3"/>
      <c r="G25" s="3"/>
    </row>
    <row r="26" spans="1:10" ht="21" customHeight="1">
      <c r="A26" s="4" t="s">
        <v>40</v>
      </c>
      <c r="B26" s="4" t="s">
        <v>41</v>
      </c>
      <c r="C26" s="5" t="s">
        <v>7</v>
      </c>
      <c r="D26" s="6">
        <v>11000</v>
      </c>
      <c r="E26" s="3"/>
      <c r="F26" s="3"/>
      <c r="G26" s="3"/>
    </row>
    <row r="27" spans="1:10" ht="20.25" customHeight="1">
      <c r="A27" s="4" t="s">
        <v>40</v>
      </c>
      <c r="B27" s="4" t="s">
        <v>42</v>
      </c>
      <c r="C27" s="5" t="s">
        <v>37</v>
      </c>
      <c r="D27" s="6">
        <v>10000</v>
      </c>
      <c r="E27" s="3"/>
      <c r="F27" s="3"/>
      <c r="G27" s="3"/>
    </row>
    <row r="28" spans="1:10" ht="15" customHeight="1">
      <c r="A28" s="4" t="s">
        <v>40</v>
      </c>
      <c r="B28" s="4" t="s">
        <v>43</v>
      </c>
      <c r="C28" s="5" t="s">
        <v>7</v>
      </c>
      <c r="D28" s="6">
        <v>11000</v>
      </c>
      <c r="E28" s="3"/>
      <c r="F28" s="3"/>
      <c r="G28" s="3"/>
    </row>
    <row r="29" spans="1:10" ht="15" customHeight="1">
      <c r="A29" s="4" t="s">
        <v>40</v>
      </c>
      <c r="B29" s="4" t="s">
        <v>44</v>
      </c>
      <c r="C29" s="5" t="s">
        <v>7</v>
      </c>
      <c r="D29" s="6">
        <v>11000</v>
      </c>
      <c r="E29" s="3"/>
      <c r="F29" s="3"/>
      <c r="G29" s="3"/>
    </row>
    <row r="30" spans="1:10" ht="15" customHeight="1">
      <c r="A30" s="4" t="s">
        <v>40</v>
      </c>
      <c r="B30" s="4" t="s">
        <v>45</v>
      </c>
      <c r="C30" s="5" t="s">
        <v>16</v>
      </c>
      <c r="D30" s="6">
        <v>10000</v>
      </c>
      <c r="E30" s="3"/>
      <c r="F30" s="3"/>
      <c r="G30" s="3"/>
    </row>
    <row r="31" spans="1:10" s="7" customFormat="1" ht="15" customHeight="1">
      <c r="A31" s="4" t="s">
        <v>46</v>
      </c>
      <c r="B31" s="4" t="s">
        <v>47</v>
      </c>
      <c r="C31" s="5" t="s">
        <v>56</v>
      </c>
      <c r="D31" s="6">
        <v>22000</v>
      </c>
      <c r="E31" s="3" t="s">
        <v>98</v>
      </c>
      <c r="F31" s="3" t="s">
        <v>99</v>
      </c>
      <c r="G31" s="3" t="s">
        <v>100</v>
      </c>
      <c r="I31" s="7" t="s">
        <v>46</v>
      </c>
      <c r="J31" s="64">
        <v>60000</v>
      </c>
    </row>
    <row r="32" spans="1:10" ht="15" customHeight="1">
      <c r="A32" s="9" t="s">
        <v>46</v>
      </c>
      <c r="B32" s="9" t="s">
        <v>48</v>
      </c>
      <c r="C32" s="10" t="s">
        <v>7</v>
      </c>
      <c r="D32" s="11">
        <v>11000</v>
      </c>
      <c r="E32" s="3"/>
      <c r="F32" s="3"/>
      <c r="G32" s="3"/>
      <c r="I32" s="8" t="s">
        <v>23</v>
      </c>
      <c r="J32" s="65">
        <v>0</v>
      </c>
    </row>
    <row r="33" spans="1:114" ht="15" customHeight="1">
      <c r="A33" s="9" t="s">
        <v>46</v>
      </c>
      <c r="B33" s="9" t="s">
        <v>49</v>
      </c>
      <c r="C33" s="10" t="s">
        <v>7</v>
      </c>
      <c r="D33" s="11">
        <v>11000</v>
      </c>
      <c r="E33" s="3"/>
      <c r="F33" s="3"/>
      <c r="G33" s="3"/>
      <c r="I33" s="8" t="s">
        <v>53</v>
      </c>
      <c r="J33" s="65">
        <v>34192.200000000004</v>
      </c>
    </row>
    <row r="34" spans="1:114" s="7" customFormat="1" ht="15" customHeight="1">
      <c r="A34" s="9" t="s">
        <v>46</v>
      </c>
      <c r="B34" s="9" t="s">
        <v>50</v>
      </c>
      <c r="C34" s="10" t="s">
        <v>7</v>
      </c>
      <c r="D34" s="11">
        <v>11000</v>
      </c>
      <c r="E34" s="3"/>
      <c r="F34" s="3"/>
      <c r="G34" s="3"/>
      <c r="I34" s="8" t="s">
        <v>123</v>
      </c>
      <c r="J34" s="65">
        <v>34423.200000000004</v>
      </c>
    </row>
    <row r="35" spans="1:114" ht="15" customHeight="1">
      <c r="A35" s="9" t="s">
        <v>46</v>
      </c>
      <c r="B35" s="12" t="s">
        <v>51</v>
      </c>
      <c r="C35" s="10" t="s">
        <v>14</v>
      </c>
      <c r="D35" s="11">
        <v>10000</v>
      </c>
      <c r="E35" s="3"/>
      <c r="F35" s="3"/>
      <c r="G35" s="3"/>
      <c r="H35" s="13"/>
      <c r="I35" s="8" t="s">
        <v>40</v>
      </c>
      <c r="J35" s="65">
        <v>20000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</row>
    <row r="36" spans="1:114" ht="15" customHeight="1">
      <c r="A36" s="4" t="s">
        <v>46</v>
      </c>
      <c r="B36" s="15" t="s">
        <v>52</v>
      </c>
      <c r="C36" s="16" t="s">
        <v>16</v>
      </c>
      <c r="D36" s="8">
        <v>10000</v>
      </c>
      <c r="E36" s="3"/>
      <c r="F36" s="3"/>
      <c r="G36" s="3"/>
      <c r="I36" s="8" t="s">
        <v>27</v>
      </c>
    </row>
    <row r="37" spans="1:114" ht="15" customHeight="1">
      <c r="A37" s="4" t="s">
        <v>53</v>
      </c>
      <c r="B37" s="17" t="s">
        <v>54</v>
      </c>
      <c r="C37" s="16" t="s">
        <v>7</v>
      </c>
      <c r="D37" s="8">
        <v>11000</v>
      </c>
      <c r="E37" s="3"/>
      <c r="F37" s="3"/>
      <c r="G37" s="3"/>
      <c r="I37" s="7" t="s">
        <v>34</v>
      </c>
      <c r="J37" s="64">
        <v>25751.25</v>
      </c>
    </row>
    <row r="38" spans="1:114" ht="15" customHeight="1">
      <c r="A38" s="4" t="s">
        <v>53</v>
      </c>
      <c r="B38" s="17" t="s">
        <v>57</v>
      </c>
      <c r="C38" s="16" t="s">
        <v>7</v>
      </c>
      <c r="D38" s="8">
        <v>11000</v>
      </c>
      <c r="E38" s="3"/>
      <c r="F38" s="3"/>
      <c r="G38" s="3"/>
    </row>
    <row r="39" spans="1:114" ht="15" customHeight="1">
      <c r="A39" s="4" t="s">
        <v>53</v>
      </c>
      <c r="B39" s="17" t="s">
        <v>58</v>
      </c>
      <c r="C39" s="16" t="s">
        <v>16</v>
      </c>
      <c r="D39" s="8">
        <v>10000</v>
      </c>
      <c r="E39" s="3"/>
      <c r="F39" s="3"/>
      <c r="G39" s="3"/>
    </row>
    <row r="40" spans="1:114" ht="15" customHeight="1">
      <c r="A40" s="4" t="s">
        <v>53</v>
      </c>
      <c r="B40" s="63" t="s">
        <v>55</v>
      </c>
      <c r="C40" s="5" t="s">
        <v>56</v>
      </c>
      <c r="D40" s="6">
        <v>22000</v>
      </c>
      <c r="E40" s="3" t="s">
        <v>98</v>
      </c>
      <c r="F40" s="3" t="s">
        <v>99</v>
      </c>
      <c r="G40" s="3" t="s">
        <v>100</v>
      </c>
    </row>
    <row r="41" spans="1:114" ht="15" customHeight="1">
      <c r="A41" s="9" t="s">
        <v>59</v>
      </c>
      <c r="B41" s="9" t="s">
        <v>62</v>
      </c>
      <c r="C41" s="10" t="s">
        <v>67</v>
      </c>
      <c r="D41" s="11">
        <v>22000</v>
      </c>
      <c r="E41" s="3" t="s">
        <v>98</v>
      </c>
      <c r="F41" s="3" t="s">
        <v>105</v>
      </c>
      <c r="G41" s="3"/>
    </row>
    <row r="42" spans="1:114" ht="15" customHeight="1">
      <c r="A42" s="9" t="s">
        <v>59</v>
      </c>
      <c r="B42" s="9" t="s">
        <v>63</v>
      </c>
      <c r="C42" s="10" t="s">
        <v>64</v>
      </c>
      <c r="D42" s="11">
        <v>8000</v>
      </c>
      <c r="E42" s="3"/>
      <c r="F42" s="3"/>
      <c r="G42" s="3"/>
    </row>
    <row r="43" spans="1:114" ht="15" customHeight="1">
      <c r="A43" s="4" t="s">
        <v>65</v>
      </c>
      <c r="B43" s="4" t="s">
        <v>66</v>
      </c>
      <c r="C43" s="5" t="s">
        <v>67</v>
      </c>
      <c r="D43" s="19">
        <v>45000</v>
      </c>
      <c r="E43" s="3" t="s">
        <v>98</v>
      </c>
      <c r="F43" s="3" t="s">
        <v>105</v>
      </c>
      <c r="G43" s="3"/>
    </row>
    <row r="44" spans="1:114" ht="15" customHeight="1">
      <c r="A44" s="4" t="s">
        <v>65</v>
      </c>
      <c r="B44" s="4" t="s">
        <v>68</v>
      </c>
      <c r="C44" s="5" t="s">
        <v>69</v>
      </c>
      <c r="D44" s="6">
        <v>22000</v>
      </c>
      <c r="E44" s="3" t="s">
        <v>102</v>
      </c>
      <c r="F44" s="3"/>
      <c r="G44" s="3"/>
    </row>
    <row r="45" spans="1:114" ht="15" customHeight="1">
      <c r="A45" s="4" t="s">
        <v>70</v>
      </c>
      <c r="B45" s="4" t="s">
        <v>71</v>
      </c>
      <c r="C45" s="5" t="s">
        <v>72</v>
      </c>
      <c r="D45" s="6">
        <v>30709</v>
      </c>
      <c r="E45" s="3" t="s">
        <v>102</v>
      </c>
      <c r="F45" s="3"/>
      <c r="G45" s="3"/>
    </row>
    <row r="46" spans="1:114" s="7" customFormat="1" ht="15" customHeight="1">
      <c r="A46" s="20" t="s">
        <v>70</v>
      </c>
      <c r="B46" s="6" t="s">
        <v>73</v>
      </c>
      <c r="C46" s="5" t="s">
        <v>74</v>
      </c>
      <c r="D46" s="6">
        <v>2220</v>
      </c>
      <c r="E46" s="3" t="s">
        <v>102</v>
      </c>
      <c r="F46" s="3"/>
      <c r="G46" s="3"/>
    </row>
    <row r="47" spans="1:114" ht="15" customHeight="1">
      <c r="A47" s="20" t="s">
        <v>70</v>
      </c>
      <c r="B47" s="4" t="s">
        <v>132</v>
      </c>
      <c r="C47" s="21" t="s">
        <v>75</v>
      </c>
      <c r="D47" s="6">
        <v>12500</v>
      </c>
      <c r="E47" s="3"/>
      <c r="F47" s="3"/>
      <c r="G47" s="3"/>
    </row>
    <row r="48" spans="1:114" ht="15" customHeight="1">
      <c r="A48" s="20" t="s">
        <v>70</v>
      </c>
      <c r="B48" s="4" t="s">
        <v>76</v>
      </c>
      <c r="C48" s="21" t="s">
        <v>77</v>
      </c>
      <c r="D48" s="6">
        <v>560</v>
      </c>
      <c r="E48" s="3"/>
      <c r="F48" s="3"/>
      <c r="G48" s="3"/>
    </row>
    <row r="49" spans="1:105" ht="15" customHeight="1">
      <c r="A49" s="20" t="s">
        <v>70</v>
      </c>
      <c r="B49" s="4" t="s">
        <v>78</v>
      </c>
      <c r="C49" s="21" t="s">
        <v>37</v>
      </c>
      <c r="D49" s="6">
        <v>560</v>
      </c>
      <c r="E49" s="3"/>
      <c r="F49" s="3"/>
      <c r="G49" s="3"/>
    </row>
    <row r="50" spans="1:105" ht="15" customHeight="1">
      <c r="A50" s="20" t="s">
        <v>70</v>
      </c>
      <c r="B50" s="4" t="s">
        <v>79</v>
      </c>
      <c r="C50" s="21" t="s">
        <v>80</v>
      </c>
      <c r="D50" s="6">
        <v>400</v>
      </c>
      <c r="E50" s="3"/>
      <c r="F50" s="3"/>
      <c r="G50" s="3"/>
    </row>
    <row r="51" spans="1:105" ht="15" customHeight="1">
      <c r="A51" s="20" t="s">
        <v>70</v>
      </c>
      <c r="B51" s="4" t="s">
        <v>81</v>
      </c>
      <c r="C51" s="5" t="s">
        <v>82</v>
      </c>
      <c r="D51" s="6">
        <v>2500</v>
      </c>
      <c r="E51" s="3" t="s">
        <v>107</v>
      </c>
      <c r="F51" s="3" t="s">
        <v>99</v>
      </c>
      <c r="G51" s="3"/>
    </row>
    <row r="52" spans="1:105" ht="15" customHeight="1">
      <c r="A52" s="4" t="s">
        <v>70</v>
      </c>
      <c r="B52" s="4" t="s">
        <v>83</v>
      </c>
      <c r="C52" s="5" t="s">
        <v>75</v>
      </c>
      <c r="D52" s="6">
        <v>9500</v>
      </c>
      <c r="E52" s="3"/>
      <c r="F52" s="3"/>
      <c r="G52" s="3"/>
    </row>
    <row r="53" spans="1:105" s="7" customFormat="1" ht="15" customHeight="1">
      <c r="A53" s="9" t="s">
        <v>70</v>
      </c>
      <c r="B53" s="22" t="s">
        <v>84</v>
      </c>
      <c r="C53" s="10" t="s">
        <v>85</v>
      </c>
      <c r="D53" s="11">
        <v>1350</v>
      </c>
      <c r="E53" s="3" t="s">
        <v>133</v>
      </c>
      <c r="F53" s="3"/>
      <c r="G53" s="3"/>
    </row>
    <row r="54" spans="1:105" s="7" customFormat="1" ht="15" customHeight="1">
      <c r="A54" s="20" t="s">
        <v>70</v>
      </c>
      <c r="B54" s="4" t="s">
        <v>86</v>
      </c>
      <c r="C54" s="5" t="s">
        <v>87</v>
      </c>
      <c r="D54" s="6">
        <v>750</v>
      </c>
      <c r="E54" s="3" t="s">
        <v>109</v>
      </c>
      <c r="F54" s="3"/>
      <c r="G54" s="3"/>
    </row>
    <row r="55" spans="1:105" ht="15" customHeight="1">
      <c r="A55" s="3"/>
      <c r="B55" s="3"/>
      <c r="C55" s="3"/>
      <c r="D55" s="3"/>
      <c r="E55" s="3"/>
      <c r="F55" s="3"/>
      <c r="G55" s="3"/>
    </row>
    <row r="56" spans="1:105" ht="15" customHeight="1">
      <c r="A56" s="15" t="s">
        <v>88</v>
      </c>
      <c r="D56" s="24">
        <f>F59</f>
        <v>52709</v>
      </c>
      <c r="E56" s="3"/>
      <c r="F56" s="3"/>
      <c r="G56" s="3"/>
    </row>
    <row r="57" spans="1:105" ht="19.5" customHeight="1">
      <c r="A57" s="15" t="s">
        <v>89</v>
      </c>
      <c r="D57" s="24">
        <f>SUM(D40:D44)</f>
        <v>119000</v>
      </c>
      <c r="E57" s="3"/>
      <c r="F57" s="3"/>
      <c r="G57" s="3"/>
    </row>
    <row r="58" spans="1:105" ht="19.5" customHeight="1">
      <c r="A58" s="15" t="s">
        <v>90</v>
      </c>
      <c r="B58" s="15"/>
      <c r="C58" s="16"/>
      <c r="D58" s="24">
        <f>SUM(D2:D39)</f>
        <v>488833</v>
      </c>
      <c r="E58" s="8" t="s">
        <v>91</v>
      </c>
      <c r="F58" s="8">
        <f>D46+D48+D49+D50+D51+D53+D54+D55</f>
        <v>8340</v>
      </c>
      <c r="G58" s="8">
        <v>433496.6</v>
      </c>
    </row>
    <row r="59" spans="1:105" s="30" customFormat="1" ht="15" customHeight="1">
      <c r="A59" s="25"/>
      <c r="B59" s="26" t="s">
        <v>92</v>
      </c>
      <c r="C59" s="27" t="s">
        <v>93</v>
      </c>
      <c r="D59" s="28">
        <f>SUM(D56:D58)</f>
        <v>660542</v>
      </c>
      <c r="E59" s="8" t="s">
        <v>93</v>
      </c>
      <c r="F59" s="29">
        <f>D45+D47+D52</f>
        <v>52709</v>
      </c>
      <c r="G59" s="8">
        <v>1367926.6</v>
      </c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</row>
    <row r="60" spans="1:105" ht="18" customHeight="1">
      <c r="A60" s="31"/>
      <c r="C60" s="32" t="s">
        <v>91</v>
      </c>
      <c r="D60" s="32">
        <f>F58</f>
        <v>8340</v>
      </c>
      <c r="F60" s="8">
        <f>F58*80+F59</f>
        <v>719909</v>
      </c>
    </row>
    <row r="61" spans="1:105" ht="17.25" customHeight="1">
      <c r="A61" s="31"/>
      <c r="C61" s="33" t="s">
        <v>93</v>
      </c>
      <c r="D61" s="34">
        <f>D59+D60*80</f>
        <v>1327742</v>
      </c>
    </row>
    <row r="62" spans="1:105" ht="60.75" customHeight="1">
      <c r="A62" s="31"/>
    </row>
    <row r="63" spans="1:105" ht="60.75" customHeight="1">
      <c r="A63" s="31"/>
    </row>
    <row r="64" spans="1:105" ht="60.75" customHeight="1">
      <c r="A64" s="31"/>
    </row>
    <row r="65" spans="1:3" ht="60.75" customHeight="1">
      <c r="A65" s="31"/>
    </row>
    <row r="66" spans="1:3" ht="60.75" customHeight="1">
      <c r="A66" s="31"/>
    </row>
    <row r="67" spans="1:3" ht="60.75" customHeight="1">
      <c r="A67" s="31"/>
    </row>
    <row r="68" spans="1:3" ht="60.75" customHeight="1">
      <c r="A68" s="31"/>
    </row>
    <row r="69" spans="1:3" ht="60.75" customHeight="1">
      <c r="A69" s="31"/>
    </row>
    <row r="70" spans="1:3" ht="60.75" customHeight="1">
      <c r="A70" s="31"/>
    </row>
    <row r="71" spans="1:3" ht="60.75" customHeight="1">
      <c r="A71" s="31"/>
    </row>
    <row r="72" spans="1:3" ht="60.75" customHeight="1">
      <c r="A72" s="31"/>
      <c r="C72" s="8"/>
    </row>
    <row r="73" spans="1:3" ht="60.75" customHeight="1">
      <c r="A73" s="31"/>
      <c r="C73" s="8"/>
    </row>
    <row r="74" spans="1:3" ht="60.75" customHeight="1">
      <c r="A74" s="31"/>
      <c r="C74" s="8"/>
    </row>
    <row r="75" spans="1:3" ht="60.75" customHeight="1">
      <c r="A75" s="31"/>
      <c r="C75" s="8"/>
    </row>
    <row r="76" spans="1:3" ht="60.75" customHeight="1">
      <c r="A76" s="31"/>
      <c r="C76" s="8"/>
    </row>
    <row r="77" spans="1:3" ht="60.75" customHeight="1">
      <c r="A77" s="31"/>
      <c r="C77" s="8"/>
    </row>
    <row r="78" spans="1:3" ht="60.75" customHeight="1">
      <c r="A78" s="31"/>
      <c r="C78" s="8"/>
    </row>
    <row r="79" spans="1:3" ht="60.75" customHeight="1">
      <c r="A79" s="31"/>
      <c r="C79" s="8"/>
    </row>
    <row r="80" spans="1:3" ht="60.75" customHeight="1">
      <c r="A80" s="31"/>
      <c r="C80" s="8"/>
    </row>
    <row r="81" spans="1:3" ht="60.75" customHeight="1">
      <c r="A81" s="31"/>
      <c r="C81" s="8"/>
    </row>
    <row r="82" spans="1:3" ht="60.75" customHeight="1">
      <c r="A82" s="31"/>
      <c r="C82" s="8"/>
    </row>
    <row r="83" spans="1:3" ht="60.75" customHeight="1">
      <c r="A83" s="31"/>
      <c r="C83" s="8"/>
    </row>
    <row r="84" spans="1:3" ht="60.75" customHeight="1">
      <c r="A84" s="31"/>
      <c r="C84" s="8"/>
    </row>
    <row r="85" spans="1:3" ht="60.75" customHeight="1">
      <c r="A85" s="31"/>
      <c r="C85" s="8"/>
    </row>
    <row r="86" spans="1:3" ht="60.75" customHeight="1">
      <c r="A86" s="31"/>
      <c r="C86" s="8"/>
    </row>
    <row r="87" spans="1:3" ht="60.75" customHeight="1">
      <c r="A87" s="31"/>
      <c r="C87" s="8"/>
    </row>
    <row r="88" spans="1:3" ht="60.75" customHeight="1">
      <c r="A88" s="31"/>
      <c r="C88" s="8"/>
    </row>
    <row r="89" spans="1:3" ht="60.75" customHeight="1">
      <c r="A89" s="31"/>
      <c r="C89" s="8"/>
    </row>
    <row r="90" spans="1:3" ht="60.75" customHeight="1">
      <c r="A90" s="31"/>
      <c r="C90" s="8"/>
    </row>
    <row r="91" spans="1:3" ht="60.75" customHeight="1">
      <c r="A91" s="31"/>
      <c r="C91" s="8"/>
    </row>
    <row r="92" spans="1:3" ht="60.75" customHeight="1">
      <c r="A92" s="31"/>
      <c r="C92" s="8"/>
    </row>
    <row r="93" spans="1:3" ht="60.75" customHeight="1">
      <c r="A93" s="31"/>
      <c r="C93" s="8"/>
    </row>
    <row r="94" spans="1:3" ht="60.75" customHeight="1">
      <c r="A94" s="31"/>
      <c r="C94" s="8"/>
    </row>
    <row r="95" spans="1:3" ht="60.75" customHeight="1">
      <c r="A95" s="31"/>
      <c r="C95" s="8"/>
    </row>
    <row r="96" spans="1:3" ht="60.75" customHeight="1">
      <c r="A96" s="31"/>
      <c r="C96" s="8"/>
    </row>
    <row r="97" spans="1:3" ht="60.75" customHeight="1">
      <c r="A97" s="31"/>
      <c r="C97" s="8"/>
    </row>
    <row r="98" spans="1:3" ht="60.75" customHeight="1">
      <c r="A98" s="31"/>
      <c r="C98" s="8"/>
    </row>
    <row r="99" spans="1:3" ht="60.75" customHeight="1">
      <c r="A99" s="31"/>
      <c r="C99" s="8"/>
    </row>
    <row r="100" spans="1:3" ht="60.75" customHeight="1">
      <c r="A100" s="31"/>
      <c r="C100" s="8"/>
    </row>
    <row r="101" spans="1:3" ht="60.75" customHeight="1">
      <c r="A101" s="31"/>
      <c r="C101" s="8"/>
    </row>
    <row r="102" spans="1:3" ht="60.75" customHeight="1">
      <c r="A102" s="31"/>
      <c r="C102" s="8"/>
    </row>
    <row r="103" spans="1:3" ht="60.75" customHeight="1">
      <c r="A103" s="31"/>
      <c r="C103" s="8"/>
    </row>
    <row r="104" spans="1:3" ht="60.75" customHeight="1">
      <c r="A104" s="31"/>
      <c r="C104" s="8"/>
    </row>
    <row r="105" spans="1:3" ht="60.75" customHeight="1">
      <c r="A105" s="31"/>
      <c r="C105" s="8"/>
    </row>
    <row r="106" spans="1:3" ht="60.75" customHeight="1">
      <c r="A106" s="31"/>
      <c r="C106" s="8"/>
    </row>
    <row r="107" spans="1:3" ht="60.75" customHeight="1">
      <c r="A107" s="31"/>
      <c r="C107" s="8"/>
    </row>
    <row r="108" spans="1:3" ht="60.75" customHeight="1">
      <c r="A108" s="31"/>
      <c r="C108" s="8"/>
    </row>
    <row r="109" spans="1:3" ht="60.75" customHeight="1">
      <c r="A109" s="31"/>
      <c r="C109" s="8"/>
    </row>
    <row r="110" spans="1:3" ht="60.75" customHeight="1">
      <c r="A110" s="31"/>
      <c r="C110" s="8"/>
    </row>
    <row r="111" spans="1:3" ht="60.75" customHeight="1">
      <c r="A111" s="31"/>
      <c r="C111" s="8"/>
    </row>
    <row r="112" spans="1:3" ht="60.75" customHeight="1">
      <c r="A112" s="31"/>
      <c r="C112" s="8"/>
    </row>
    <row r="113" spans="1:3" ht="60.75" customHeight="1">
      <c r="A113" s="31"/>
      <c r="C113" s="8"/>
    </row>
    <row r="114" spans="1:3" ht="60.75" customHeight="1">
      <c r="A114" s="31"/>
      <c r="C114" s="8"/>
    </row>
    <row r="115" spans="1:3" ht="60.75" customHeight="1">
      <c r="A115" s="31"/>
      <c r="C115" s="8"/>
    </row>
    <row r="116" spans="1:3" ht="60.75" customHeight="1">
      <c r="A116" s="31"/>
      <c r="C116" s="8"/>
    </row>
    <row r="117" spans="1:3" ht="60.75" customHeight="1">
      <c r="A117" s="31"/>
      <c r="C117" s="8"/>
    </row>
    <row r="118" spans="1:3" ht="60.75" customHeight="1">
      <c r="A118" s="31"/>
      <c r="C118" s="8"/>
    </row>
    <row r="119" spans="1:3" ht="60.75" customHeight="1">
      <c r="A119" s="31"/>
      <c r="C119" s="8"/>
    </row>
    <row r="120" spans="1:3" ht="60.75" customHeight="1">
      <c r="A120" s="31"/>
      <c r="C120" s="8"/>
    </row>
    <row r="121" spans="1:3" ht="60.75" customHeight="1">
      <c r="A121" s="31"/>
      <c r="C121" s="8"/>
    </row>
    <row r="122" spans="1:3" ht="60.75" customHeight="1">
      <c r="A122" s="31"/>
      <c r="C122" s="8"/>
    </row>
    <row r="123" spans="1:3" ht="60.75" customHeight="1">
      <c r="A123" s="31"/>
      <c r="C123" s="8"/>
    </row>
    <row r="124" spans="1:3" ht="60.75" customHeight="1">
      <c r="A124" s="31"/>
      <c r="C124" s="8"/>
    </row>
    <row r="125" spans="1:3" ht="60.75" customHeight="1">
      <c r="A125" s="31"/>
      <c r="C125" s="8"/>
    </row>
    <row r="126" spans="1:3" ht="60.75" customHeight="1">
      <c r="A126" s="31"/>
      <c r="C126" s="8"/>
    </row>
    <row r="127" spans="1:3" ht="60.75" customHeight="1">
      <c r="A127" s="31"/>
      <c r="C127" s="8"/>
    </row>
    <row r="128" spans="1:3" ht="60.75" customHeight="1">
      <c r="A128" s="31"/>
      <c r="C128" s="8"/>
    </row>
    <row r="129" spans="1:3" ht="60.75" customHeight="1">
      <c r="A129" s="31"/>
      <c r="C129" s="8"/>
    </row>
    <row r="130" spans="1:3" ht="60.75" customHeight="1">
      <c r="A130" s="31"/>
      <c r="C130" s="8"/>
    </row>
    <row r="131" spans="1:3" ht="60.75" customHeight="1">
      <c r="A131" s="31"/>
      <c r="C131" s="8"/>
    </row>
    <row r="132" spans="1:3" ht="60.75" customHeight="1">
      <c r="A132" s="31"/>
      <c r="C132" s="8"/>
    </row>
    <row r="133" spans="1:3" ht="60.75" customHeight="1">
      <c r="A133" s="31"/>
      <c r="C133" s="8"/>
    </row>
    <row r="134" spans="1:3" ht="60.75" customHeight="1">
      <c r="A134" s="31"/>
      <c r="C134" s="8"/>
    </row>
    <row r="135" spans="1:3" ht="60.75" customHeight="1">
      <c r="A135" s="31"/>
      <c r="C135" s="8"/>
    </row>
    <row r="136" spans="1:3" ht="60.75" customHeight="1">
      <c r="A136" s="31"/>
      <c r="C136" s="8"/>
    </row>
    <row r="137" spans="1:3" ht="60.75" customHeight="1">
      <c r="A137" s="31"/>
      <c r="C137" s="8"/>
    </row>
    <row r="138" spans="1:3" ht="60.75" customHeight="1">
      <c r="A138" s="31"/>
      <c r="C138" s="8"/>
    </row>
    <row r="139" spans="1:3" ht="60.75" customHeight="1">
      <c r="A139" s="31"/>
      <c r="C139" s="8"/>
    </row>
    <row r="140" spans="1:3" ht="60.75" customHeight="1">
      <c r="A140" s="31"/>
      <c r="C140" s="8"/>
    </row>
    <row r="141" spans="1:3" ht="60.75" customHeight="1">
      <c r="A141" s="31"/>
      <c r="C141" s="8"/>
    </row>
    <row r="142" spans="1:3" ht="60.75" customHeight="1">
      <c r="A142" s="31"/>
      <c r="C142" s="8"/>
    </row>
    <row r="143" spans="1:3" ht="60.75" customHeight="1">
      <c r="A143" s="31"/>
      <c r="C143" s="8"/>
    </row>
    <row r="144" spans="1:3" ht="60.75" customHeight="1">
      <c r="A144" s="31"/>
      <c r="C144" s="8"/>
    </row>
    <row r="145" spans="1:3" ht="60.75" customHeight="1">
      <c r="A145" s="31"/>
      <c r="C145" s="8"/>
    </row>
    <row r="146" spans="1:3" ht="60.75" customHeight="1">
      <c r="A146" s="31"/>
      <c r="C146" s="8"/>
    </row>
    <row r="147" spans="1:3" ht="60.75" customHeight="1">
      <c r="A147" s="31"/>
      <c r="C147" s="8"/>
    </row>
    <row r="148" spans="1:3" ht="60.75" customHeight="1">
      <c r="A148" s="31"/>
      <c r="C148" s="8"/>
    </row>
    <row r="149" spans="1:3" ht="60.75" customHeight="1">
      <c r="A149" s="31"/>
      <c r="C149" s="8"/>
    </row>
    <row r="150" spans="1:3" ht="60.75" customHeight="1">
      <c r="A150" s="31"/>
      <c r="C150" s="8"/>
    </row>
    <row r="151" spans="1:3" ht="60.75" customHeight="1">
      <c r="A151" s="31"/>
      <c r="C151" s="8"/>
    </row>
    <row r="152" spans="1:3" ht="60.75" customHeight="1">
      <c r="A152" s="31"/>
      <c r="C152" s="8"/>
    </row>
    <row r="153" spans="1:3" ht="60.75" customHeight="1">
      <c r="A153" s="31"/>
      <c r="C153" s="8"/>
    </row>
    <row r="154" spans="1:3" ht="60.75" customHeight="1">
      <c r="A154" s="31"/>
      <c r="C154" s="8"/>
    </row>
    <row r="155" spans="1:3" ht="60.75" customHeight="1">
      <c r="A155" s="31"/>
      <c r="C155" s="8"/>
    </row>
    <row r="156" spans="1:3" ht="60.75" customHeight="1">
      <c r="A156" s="31"/>
      <c r="C156" s="8"/>
    </row>
    <row r="157" spans="1:3" ht="60.75" customHeight="1">
      <c r="A157" s="31"/>
      <c r="C157" s="8"/>
    </row>
    <row r="158" spans="1:3" ht="60.75" customHeight="1">
      <c r="A158" s="31"/>
      <c r="C158" s="8"/>
    </row>
    <row r="159" spans="1:3" ht="60.75" customHeight="1">
      <c r="A159" s="31"/>
      <c r="C159" s="8"/>
    </row>
    <row r="160" spans="1:3" ht="60.75" customHeight="1">
      <c r="A160" s="31"/>
      <c r="C160" s="8"/>
    </row>
    <row r="161" spans="1:3" ht="60.75" customHeight="1">
      <c r="A161" s="31"/>
      <c r="C161" s="8"/>
    </row>
    <row r="162" spans="1:3" ht="60.75" customHeight="1">
      <c r="A162" s="31"/>
      <c r="C162" s="8"/>
    </row>
    <row r="163" spans="1:3" ht="60.75" customHeight="1">
      <c r="A163" s="31"/>
      <c r="C163" s="8"/>
    </row>
    <row r="164" spans="1:3" ht="60.75" customHeight="1">
      <c r="A164" s="31"/>
      <c r="C164" s="8"/>
    </row>
    <row r="165" spans="1:3" ht="60.75" customHeight="1">
      <c r="A165" s="31"/>
      <c r="C165" s="8"/>
    </row>
    <row r="166" spans="1:3" ht="60.75" customHeight="1">
      <c r="A166" s="31"/>
      <c r="C166" s="8"/>
    </row>
    <row r="167" spans="1:3" ht="60.75" customHeight="1">
      <c r="A167" s="31"/>
      <c r="C167" s="8"/>
    </row>
    <row r="168" spans="1:3" ht="60.75" customHeight="1">
      <c r="A168" s="31"/>
      <c r="C168" s="8"/>
    </row>
    <row r="169" spans="1:3" ht="60.75" customHeight="1">
      <c r="A169" s="31"/>
      <c r="C169" s="8"/>
    </row>
    <row r="170" spans="1:3" ht="60.75" customHeight="1">
      <c r="A170" s="31"/>
      <c r="C170" s="8"/>
    </row>
    <row r="171" spans="1:3" ht="60.75" customHeight="1">
      <c r="A171" s="31"/>
      <c r="C171" s="8"/>
    </row>
    <row r="172" spans="1:3" ht="60.75" customHeight="1">
      <c r="A172" s="31"/>
      <c r="C172" s="8"/>
    </row>
    <row r="173" spans="1:3" ht="60.75" customHeight="1">
      <c r="A173" s="31"/>
      <c r="C173" s="8"/>
    </row>
    <row r="174" spans="1:3" ht="60.75" customHeight="1">
      <c r="A174" s="31"/>
      <c r="C174" s="8"/>
    </row>
    <row r="175" spans="1:3" ht="60.75" customHeight="1">
      <c r="A175" s="31"/>
      <c r="C175" s="8"/>
    </row>
    <row r="176" spans="1:3" ht="60.75" customHeight="1">
      <c r="A176" s="31"/>
      <c r="C176" s="8"/>
    </row>
    <row r="177" spans="1:3" ht="60.75" customHeight="1">
      <c r="A177" s="31"/>
      <c r="C177" s="8"/>
    </row>
    <row r="178" spans="1:3" ht="60.75" customHeight="1">
      <c r="A178" s="31"/>
      <c r="C178" s="8"/>
    </row>
    <row r="179" spans="1:3" ht="60.75" customHeight="1">
      <c r="A179" s="31"/>
      <c r="C179" s="8"/>
    </row>
    <row r="180" spans="1:3" ht="60.75" customHeight="1">
      <c r="A180" s="31"/>
      <c r="C180" s="8"/>
    </row>
    <row r="181" spans="1:3" ht="60.75" customHeight="1">
      <c r="A181" s="31"/>
      <c r="C181" s="8"/>
    </row>
    <row r="182" spans="1:3" ht="60.75" customHeight="1">
      <c r="A182" s="31"/>
      <c r="C182" s="8"/>
    </row>
    <row r="183" spans="1:3" ht="60.75" customHeight="1">
      <c r="A183" s="31"/>
      <c r="C183" s="8"/>
    </row>
    <row r="184" spans="1:3" ht="60.75" customHeight="1">
      <c r="A184" s="31"/>
      <c r="C184" s="8"/>
    </row>
    <row r="185" spans="1:3" ht="60.75" customHeight="1">
      <c r="A185" s="31"/>
      <c r="C185" s="8"/>
    </row>
    <row r="186" spans="1:3" ht="60.75" customHeight="1">
      <c r="A186" s="31"/>
      <c r="C186" s="8"/>
    </row>
    <row r="187" spans="1:3" ht="60.75" customHeight="1">
      <c r="A187" s="31"/>
      <c r="C187" s="8"/>
    </row>
    <row r="188" spans="1:3" ht="60.75" customHeight="1">
      <c r="A188" s="31"/>
      <c r="C188" s="8"/>
    </row>
    <row r="189" spans="1:3" ht="60.75" customHeight="1">
      <c r="A189" s="31"/>
      <c r="C189" s="8"/>
    </row>
    <row r="190" spans="1:3" ht="60.75" customHeight="1">
      <c r="A190" s="31"/>
      <c r="C190" s="8"/>
    </row>
    <row r="191" spans="1:3" ht="60.75" customHeight="1">
      <c r="A191" s="31"/>
      <c r="C191" s="8"/>
    </row>
    <row r="192" spans="1:3" ht="60.75" customHeight="1">
      <c r="A192" s="31"/>
      <c r="C192" s="8"/>
    </row>
    <row r="193" spans="1:3" ht="60.75" customHeight="1">
      <c r="A193" s="31"/>
      <c r="C193" s="8"/>
    </row>
    <row r="194" spans="1:3" ht="60.75" customHeight="1">
      <c r="A194" s="31"/>
      <c r="C194" s="8"/>
    </row>
    <row r="195" spans="1:3" ht="60.75" customHeight="1">
      <c r="A195" s="31"/>
      <c r="C195" s="8"/>
    </row>
    <row r="196" spans="1:3" ht="60.75" customHeight="1">
      <c r="A196" s="31"/>
      <c r="C196" s="8"/>
    </row>
    <row r="197" spans="1:3" ht="60.75" customHeight="1">
      <c r="A197" s="31"/>
      <c r="C197" s="8"/>
    </row>
    <row r="198" spans="1:3" ht="60.75" customHeight="1">
      <c r="A198" s="31"/>
      <c r="C198" s="8"/>
    </row>
    <row r="199" spans="1:3" ht="60.75" customHeight="1">
      <c r="A199" s="31"/>
      <c r="C199" s="8"/>
    </row>
    <row r="200" spans="1:3" ht="60.75" customHeight="1">
      <c r="A200" s="31"/>
      <c r="C200" s="8"/>
    </row>
    <row r="201" spans="1:3" ht="60.75" customHeight="1">
      <c r="A201" s="31"/>
      <c r="C201" s="8"/>
    </row>
    <row r="202" spans="1:3" ht="60.75" customHeight="1">
      <c r="A202" s="31"/>
      <c r="C202" s="8"/>
    </row>
    <row r="203" spans="1:3" ht="60.75" customHeight="1">
      <c r="A203" s="31"/>
      <c r="C203" s="8"/>
    </row>
    <row r="204" spans="1:3" ht="60.75" customHeight="1">
      <c r="A204" s="31"/>
      <c r="C204" s="8"/>
    </row>
    <row r="205" spans="1:3" ht="60.75" customHeight="1">
      <c r="A205" s="31"/>
      <c r="C205" s="8"/>
    </row>
    <row r="206" spans="1:3" ht="60.75" customHeight="1">
      <c r="A206" s="31"/>
      <c r="C206" s="8"/>
    </row>
    <row r="207" spans="1:3" ht="60.75" customHeight="1">
      <c r="A207" s="31"/>
      <c r="C207" s="8"/>
    </row>
    <row r="208" spans="1:3" ht="60.75" customHeight="1">
      <c r="A208" s="31"/>
      <c r="C208" s="8"/>
    </row>
    <row r="209" spans="1:3" ht="60.75" customHeight="1">
      <c r="A209" s="31"/>
      <c r="C209" s="8"/>
    </row>
    <row r="210" spans="1:3" ht="60.75" customHeight="1">
      <c r="A210" s="31"/>
      <c r="C210" s="8"/>
    </row>
    <row r="211" spans="1:3" ht="60.75" customHeight="1">
      <c r="A211" s="31"/>
      <c r="C211" s="8"/>
    </row>
    <row r="212" spans="1:3" ht="60.75" customHeight="1">
      <c r="A212" s="31"/>
      <c r="C212" s="8"/>
    </row>
    <row r="213" spans="1:3" ht="60.75" customHeight="1">
      <c r="A213" s="31"/>
      <c r="C213" s="8"/>
    </row>
    <row r="214" spans="1:3" ht="60.75" customHeight="1">
      <c r="A214" s="31"/>
      <c r="C214" s="8"/>
    </row>
    <row r="215" spans="1:3" ht="60.75" customHeight="1">
      <c r="A215" s="31"/>
      <c r="C215" s="8"/>
    </row>
    <row r="216" spans="1:3" ht="60.75" customHeight="1">
      <c r="A216" s="31"/>
      <c r="C216" s="8"/>
    </row>
    <row r="217" spans="1:3" ht="60.75" customHeight="1">
      <c r="A217" s="31"/>
      <c r="C217" s="8"/>
    </row>
    <row r="218" spans="1:3" ht="60.75" customHeight="1">
      <c r="A218" s="31"/>
      <c r="C218" s="8"/>
    </row>
    <row r="219" spans="1:3" ht="60.75" customHeight="1">
      <c r="A219" s="31"/>
      <c r="C219" s="8"/>
    </row>
    <row r="220" spans="1:3" ht="60.75" customHeight="1">
      <c r="A220" s="31"/>
      <c r="C220" s="8"/>
    </row>
    <row r="221" spans="1:3" ht="60.75" customHeight="1">
      <c r="A221" s="31"/>
      <c r="C221" s="8"/>
    </row>
    <row r="222" spans="1:3" ht="60.75" customHeight="1">
      <c r="A222" s="31"/>
      <c r="C222" s="8"/>
    </row>
    <row r="223" spans="1:3" ht="60.75" customHeight="1">
      <c r="A223" s="31"/>
      <c r="C223" s="8"/>
    </row>
    <row r="224" spans="1:3" ht="60.75" customHeight="1">
      <c r="A224" s="31"/>
      <c r="C224" s="8"/>
    </row>
    <row r="225" spans="1:3" ht="60.75" customHeight="1">
      <c r="A225" s="31"/>
      <c r="C225" s="8"/>
    </row>
    <row r="226" spans="1:3" ht="60.75" customHeight="1">
      <c r="A226" s="31"/>
      <c r="C226" s="8"/>
    </row>
    <row r="227" spans="1:3" ht="60.75" customHeight="1">
      <c r="A227" s="31"/>
      <c r="C227" s="8"/>
    </row>
    <row r="228" spans="1:3" ht="60.75" customHeight="1">
      <c r="A228" s="31"/>
      <c r="C228" s="8"/>
    </row>
    <row r="229" spans="1:3" ht="60.75" customHeight="1">
      <c r="A229" s="31"/>
      <c r="C229" s="8"/>
    </row>
    <row r="230" spans="1:3" ht="60.75" customHeight="1">
      <c r="A230" s="31"/>
      <c r="C230" s="8"/>
    </row>
    <row r="231" spans="1:3" ht="60.75" customHeight="1">
      <c r="A231" s="31"/>
      <c r="C231" s="8"/>
    </row>
    <row r="232" spans="1:3" ht="60.75" customHeight="1">
      <c r="A232" s="31"/>
      <c r="C232" s="8"/>
    </row>
    <row r="233" spans="1:3" ht="60.75" customHeight="1">
      <c r="A233" s="31"/>
      <c r="C233" s="8"/>
    </row>
    <row r="234" spans="1:3" ht="60.75" customHeight="1">
      <c r="A234" s="31"/>
      <c r="C234" s="8"/>
    </row>
    <row r="235" spans="1:3" ht="60.75" customHeight="1">
      <c r="A235" s="31"/>
      <c r="C235" s="8"/>
    </row>
    <row r="236" spans="1:3" ht="60.75" customHeight="1">
      <c r="A236" s="31"/>
      <c r="C236" s="8"/>
    </row>
    <row r="237" spans="1:3" ht="60.75" customHeight="1">
      <c r="A237" s="31"/>
      <c r="C237" s="8"/>
    </row>
    <row r="238" spans="1:3" ht="60.75" customHeight="1">
      <c r="A238" s="31"/>
      <c r="C238" s="8"/>
    </row>
    <row r="239" spans="1:3" ht="60.75" customHeight="1">
      <c r="A239" s="31"/>
      <c r="C239" s="8"/>
    </row>
    <row r="240" spans="1:3" ht="60.75" customHeight="1">
      <c r="A240" s="31"/>
      <c r="C240" s="8"/>
    </row>
    <row r="241" spans="1:3" ht="60.75" customHeight="1">
      <c r="A241" s="31"/>
      <c r="C241" s="8"/>
    </row>
    <row r="242" spans="1:3" ht="60.75" customHeight="1">
      <c r="A242" s="31"/>
      <c r="C242" s="8"/>
    </row>
    <row r="243" spans="1:3" ht="60.75" customHeight="1">
      <c r="A243" s="31"/>
      <c r="C243" s="8"/>
    </row>
    <row r="244" spans="1:3" ht="60.75" customHeight="1">
      <c r="A244" s="31"/>
      <c r="C244" s="8"/>
    </row>
    <row r="245" spans="1:3" ht="60.75" customHeight="1">
      <c r="A245" s="31"/>
      <c r="C245" s="8"/>
    </row>
    <row r="246" spans="1:3" ht="60.75" customHeight="1">
      <c r="A246" s="31"/>
      <c r="C246" s="8"/>
    </row>
    <row r="247" spans="1:3" ht="60.75" customHeight="1">
      <c r="A247" s="31"/>
      <c r="C247" s="8"/>
    </row>
    <row r="248" spans="1:3" ht="60.75" customHeight="1">
      <c r="A248" s="31"/>
      <c r="C248" s="8"/>
    </row>
    <row r="249" spans="1:3" ht="60.75" customHeight="1">
      <c r="A249" s="31"/>
      <c r="C249" s="8"/>
    </row>
    <row r="250" spans="1:3" ht="60.75" customHeight="1">
      <c r="A250" s="31"/>
      <c r="C250" s="8"/>
    </row>
    <row r="251" spans="1:3" ht="60.75" customHeight="1">
      <c r="A251" s="31"/>
      <c r="C251" s="8"/>
    </row>
    <row r="252" spans="1:3" ht="60.75" customHeight="1">
      <c r="A252" s="31"/>
      <c r="C252" s="8"/>
    </row>
    <row r="253" spans="1:3" ht="60.75" customHeight="1">
      <c r="A253" s="31"/>
      <c r="C253" s="8"/>
    </row>
    <row r="254" spans="1:3" ht="60.75" customHeight="1">
      <c r="A254" s="31"/>
      <c r="C254" s="8"/>
    </row>
    <row r="255" spans="1:3" ht="60.75" customHeight="1">
      <c r="A255" s="31"/>
      <c r="C255" s="8"/>
    </row>
    <row r="256" spans="1:3" ht="60.75" customHeight="1">
      <c r="A256" s="31"/>
      <c r="C256" s="8"/>
    </row>
    <row r="257" spans="1:3" ht="60.75" customHeight="1">
      <c r="A257" s="31"/>
      <c r="C257" s="8"/>
    </row>
    <row r="258" spans="1:3" ht="60.75" customHeight="1">
      <c r="A258" s="31"/>
      <c r="C258" s="8"/>
    </row>
    <row r="259" spans="1:3" ht="60.75" customHeight="1">
      <c r="A259" s="31"/>
      <c r="C259" s="8"/>
    </row>
    <row r="260" spans="1:3" ht="60.75" customHeight="1">
      <c r="A260" s="31"/>
      <c r="C260" s="8"/>
    </row>
    <row r="261" spans="1:3" ht="60.75" customHeight="1">
      <c r="A261" s="31"/>
      <c r="C261" s="8"/>
    </row>
    <row r="262" spans="1:3" ht="60.75" customHeight="1">
      <c r="A262" s="31"/>
      <c r="C262" s="8"/>
    </row>
    <row r="263" spans="1:3" ht="60.75" customHeight="1">
      <c r="A263" s="31"/>
      <c r="C263" s="8"/>
    </row>
    <row r="264" spans="1:3" ht="60.75" customHeight="1">
      <c r="A264" s="31"/>
      <c r="C264" s="8"/>
    </row>
    <row r="265" spans="1:3" ht="60.75" customHeight="1">
      <c r="A265" s="31"/>
      <c r="C265" s="8"/>
    </row>
    <row r="266" spans="1:3" ht="60.75" customHeight="1">
      <c r="A266" s="31"/>
      <c r="C266" s="8"/>
    </row>
    <row r="267" spans="1:3" ht="60.75" customHeight="1">
      <c r="A267" s="31"/>
      <c r="C267" s="8"/>
    </row>
    <row r="268" spans="1:3" ht="60.75" customHeight="1">
      <c r="A268" s="31"/>
      <c r="C268" s="8"/>
    </row>
    <row r="269" spans="1:3" ht="60.75" customHeight="1">
      <c r="A269" s="31"/>
      <c r="C269" s="8"/>
    </row>
    <row r="270" spans="1:3" ht="60.75" customHeight="1">
      <c r="A270" s="31"/>
      <c r="C270" s="8"/>
    </row>
    <row r="271" spans="1:3" ht="60.75" customHeight="1">
      <c r="A271" s="31"/>
      <c r="C271" s="8"/>
    </row>
    <row r="272" spans="1:3" ht="60.75" customHeight="1">
      <c r="A272" s="31"/>
      <c r="C272" s="8"/>
    </row>
    <row r="273" spans="1:3" ht="60.75" customHeight="1">
      <c r="A273" s="31"/>
      <c r="C273" s="8"/>
    </row>
    <row r="274" spans="1:3" ht="60.75" customHeight="1">
      <c r="A274" s="31"/>
      <c r="C274" s="8"/>
    </row>
    <row r="275" spans="1:3" ht="60.75" customHeight="1">
      <c r="A275" s="31"/>
      <c r="C275" s="8"/>
    </row>
    <row r="276" spans="1:3" ht="60.75" customHeight="1">
      <c r="A276" s="31"/>
      <c r="C276" s="8"/>
    </row>
    <row r="277" spans="1:3" ht="60.75" customHeight="1">
      <c r="A277" s="31"/>
      <c r="C277" s="8"/>
    </row>
    <row r="278" spans="1:3" ht="60.75" customHeight="1">
      <c r="A278" s="31"/>
      <c r="C278" s="8"/>
    </row>
    <row r="279" spans="1:3" ht="60.75" customHeight="1">
      <c r="A279" s="31"/>
      <c r="C279" s="8"/>
    </row>
    <row r="280" spans="1:3" ht="60.75" customHeight="1">
      <c r="A280" s="31"/>
      <c r="C280" s="8"/>
    </row>
    <row r="281" spans="1:3" ht="60.75" customHeight="1">
      <c r="A281" s="31"/>
      <c r="C281" s="8"/>
    </row>
    <row r="282" spans="1:3" ht="60.75" customHeight="1">
      <c r="A282" s="31"/>
      <c r="C282" s="8"/>
    </row>
    <row r="283" spans="1:3" ht="60.75" customHeight="1">
      <c r="A283" s="31"/>
      <c r="C283" s="8"/>
    </row>
    <row r="284" spans="1:3" ht="60.75" customHeight="1">
      <c r="A284" s="31"/>
      <c r="C284" s="8"/>
    </row>
    <row r="285" spans="1:3" ht="60.75" customHeight="1">
      <c r="A285" s="31"/>
      <c r="C285" s="8"/>
    </row>
    <row r="286" spans="1:3" ht="60.75" customHeight="1">
      <c r="A286" s="31"/>
      <c r="C286" s="8"/>
    </row>
    <row r="287" spans="1:3" ht="60.75" customHeight="1">
      <c r="A287" s="31"/>
      <c r="C287" s="8"/>
    </row>
    <row r="288" spans="1:3" ht="60.75" customHeight="1">
      <c r="A288" s="31"/>
      <c r="C288" s="8"/>
    </row>
    <row r="289" spans="1:3" ht="60.75" customHeight="1">
      <c r="A289" s="31"/>
      <c r="C289" s="8"/>
    </row>
    <row r="290" spans="1:3" ht="60.75" customHeight="1">
      <c r="A290" s="31"/>
      <c r="C290" s="8"/>
    </row>
    <row r="291" spans="1:3" ht="60.75" customHeight="1">
      <c r="A291" s="31"/>
      <c r="C291" s="8"/>
    </row>
    <row r="292" spans="1:3" ht="60.75" customHeight="1">
      <c r="A292" s="31"/>
      <c r="C292" s="8"/>
    </row>
    <row r="293" spans="1:3" ht="60.75" customHeight="1">
      <c r="A293" s="31"/>
      <c r="C293" s="8"/>
    </row>
    <row r="294" spans="1:3" ht="60.75" customHeight="1">
      <c r="A294" s="31"/>
      <c r="C294" s="8"/>
    </row>
    <row r="295" spans="1:3" ht="60.75" customHeight="1">
      <c r="A295" s="31"/>
      <c r="C295" s="8"/>
    </row>
    <row r="296" spans="1:3" ht="60.75" customHeight="1">
      <c r="A296" s="31"/>
      <c r="C296" s="8"/>
    </row>
    <row r="297" spans="1:3" ht="60.75" customHeight="1">
      <c r="A297" s="31"/>
      <c r="C297" s="8"/>
    </row>
    <row r="298" spans="1:3" ht="60.75" customHeight="1">
      <c r="A298" s="31"/>
      <c r="C298" s="8"/>
    </row>
    <row r="299" spans="1:3" ht="60.75" customHeight="1">
      <c r="A299" s="31"/>
      <c r="C299" s="8"/>
    </row>
    <row r="300" spans="1:3" ht="60.75" customHeight="1">
      <c r="A300" s="31"/>
      <c r="C300" s="8"/>
    </row>
    <row r="301" spans="1:3" ht="60.75" customHeight="1">
      <c r="A301" s="31"/>
      <c r="C301" s="8"/>
    </row>
    <row r="302" spans="1:3" ht="60.75" customHeight="1">
      <c r="A302" s="31"/>
      <c r="C302" s="8"/>
    </row>
    <row r="303" spans="1:3" ht="60.75" customHeight="1">
      <c r="A303" s="31"/>
      <c r="C303" s="8"/>
    </row>
    <row r="304" spans="1:3" ht="60.75" customHeight="1">
      <c r="A304" s="31"/>
      <c r="C304" s="8"/>
    </row>
    <row r="305" spans="1:3" ht="60.75" customHeight="1">
      <c r="A305" s="31"/>
      <c r="C305" s="8"/>
    </row>
    <row r="306" spans="1:3" ht="60.75" customHeight="1">
      <c r="A306" s="31"/>
      <c r="C306" s="8"/>
    </row>
    <row r="307" spans="1:3" ht="60.75" customHeight="1">
      <c r="A307" s="31"/>
      <c r="C307" s="8"/>
    </row>
    <row r="308" spans="1:3" ht="60.75" customHeight="1">
      <c r="A308" s="31"/>
      <c r="C308" s="8"/>
    </row>
    <row r="309" spans="1:3" ht="60.75" customHeight="1">
      <c r="A309" s="31"/>
      <c r="C309" s="8"/>
    </row>
    <row r="310" spans="1:3" ht="60.75" customHeight="1">
      <c r="A310" s="31"/>
      <c r="C310" s="8"/>
    </row>
    <row r="311" spans="1:3" ht="60.75" customHeight="1">
      <c r="A311" s="31"/>
      <c r="C311" s="8"/>
    </row>
    <row r="312" spans="1:3" ht="60.75" customHeight="1">
      <c r="A312" s="31"/>
      <c r="C312" s="8"/>
    </row>
    <row r="313" spans="1:3" ht="60.75" customHeight="1">
      <c r="A313" s="31"/>
      <c r="C313" s="8"/>
    </row>
    <row r="314" spans="1:3" ht="60.75" customHeight="1">
      <c r="A314" s="31"/>
      <c r="C314" s="8"/>
    </row>
    <row r="315" spans="1:3" ht="60.75" customHeight="1">
      <c r="A315" s="31"/>
      <c r="C315" s="8"/>
    </row>
    <row r="316" spans="1:3" ht="60.75" customHeight="1">
      <c r="A316" s="31"/>
      <c r="C316" s="8"/>
    </row>
    <row r="317" spans="1:3" ht="60.75" customHeight="1">
      <c r="A317" s="31"/>
      <c r="C317" s="8"/>
    </row>
    <row r="318" spans="1:3" ht="60.75" customHeight="1">
      <c r="A318" s="31"/>
      <c r="C318" s="8"/>
    </row>
    <row r="319" spans="1:3" ht="60.75" customHeight="1">
      <c r="A319" s="31"/>
      <c r="C319" s="8"/>
    </row>
    <row r="320" spans="1:3" ht="60.75" customHeight="1">
      <c r="A320" s="31"/>
      <c r="C320" s="8"/>
    </row>
    <row r="321" spans="1:3" ht="60.75" customHeight="1">
      <c r="A321" s="31"/>
      <c r="C321" s="8"/>
    </row>
    <row r="322" spans="1:3" ht="60.75" customHeight="1">
      <c r="A322" s="31"/>
      <c r="C322" s="8"/>
    </row>
    <row r="323" spans="1:3" ht="60.75" customHeight="1">
      <c r="A323" s="31"/>
      <c r="C323" s="8"/>
    </row>
    <row r="324" spans="1:3" ht="60.75" customHeight="1">
      <c r="A324" s="31"/>
      <c r="C324" s="8"/>
    </row>
    <row r="325" spans="1:3" ht="60.75" customHeight="1">
      <c r="A325" s="31"/>
      <c r="C325" s="8"/>
    </row>
    <row r="326" spans="1:3" ht="60.75" customHeight="1">
      <c r="A326" s="31"/>
      <c r="C326" s="8"/>
    </row>
    <row r="327" spans="1:3" ht="60.75" customHeight="1">
      <c r="A327" s="31"/>
      <c r="C327" s="8"/>
    </row>
    <row r="328" spans="1:3" ht="60.75" customHeight="1">
      <c r="A328" s="31"/>
      <c r="C328" s="8"/>
    </row>
    <row r="329" spans="1:3" ht="60.75" customHeight="1">
      <c r="A329" s="31"/>
      <c r="C329" s="8"/>
    </row>
    <row r="330" spans="1:3" ht="60.75" customHeight="1">
      <c r="A330" s="31"/>
      <c r="C330" s="8"/>
    </row>
    <row r="331" spans="1:3" ht="60.75" customHeight="1">
      <c r="A331" s="31"/>
      <c r="C331" s="8"/>
    </row>
    <row r="332" spans="1:3" ht="60.75" customHeight="1">
      <c r="A332" s="31"/>
      <c r="C332" s="8"/>
    </row>
    <row r="333" spans="1:3" ht="60.75" customHeight="1">
      <c r="A333" s="31"/>
      <c r="C333" s="8"/>
    </row>
    <row r="334" spans="1:3" ht="60.75" customHeight="1">
      <c r="A334" s="31"/>
      <c r="C334" s="8"/>
    </row>
    <row r="335" spans="1:3" ht="60.75" customHeight="1">
      <c r="A335" s="31"/>
      <c r="C335" s="8"/>
    </row>
    <row r="336" spans="1:3" ht="60.75" customHeight="1">
      <c r="A336" s="31"/>
      <c r="C336" s="8"/>
    </row>
    <row r="337" spans="1:3" ht="60.75" customHeight="1">
      <c r="A337" s="31"/>
      <c r="C337" s="8"/>
    </row>
    <row r="338" spans="1:3" ht="60.75" customHeight="1">
      <c r="A338" s="31"/>
      <c r="C338" s="8"/>
    </row>
    <row r="339" spans="1:3" ht="60.75" customHeight="1">
      <c r="A339" s="31"/>
      <c r="C339" s="8"/>
    </row>
    <row r="340" spans="1:3" ht="60.75" customHeight="1">
      <c r="A340" s="31"/>
      <c r="C340" s="8"/>
    </row>
    <row r="341" spans="1:3" ht="60.75" customHeight="1">
      <c r="A341" s="31"/>
      <c r="C341" s="8"/>
    </row>
    <row r="342" spans="1:3" ht="60.75" customHeight="1">
      <c r="A342" s="31"/>
      <c r="C342" s="8"/>
    </row>
    <row r="343" spans="1:3" ht="60.75" customHeight="1">
      <c r="A343" s="31"/>
      <c r="C343" s="8"/>
    </row>
    <row r="344" spans="1:3" ht="60.75" customHeight="1">
      <c r="A344" s="31"/>
      <c r="C344" s="8"/>
    </row>
    <row r="345" spans="1:3" ht="60.75" customHeight="1">
      <c r="A345" s="31"/>
      <c r="C345" s="8"/>
    </row>
    <row r="346" spans="1:3" ht="60.75" customHeight="1">
      <c r="A346" s="31"/>
      <c r="C346" s="8"/>
    </row>
    <row r="347" spans="1:3" ht="60.75" customHeight="1">
      <c r="A347" s="31"/>
      <c r="C347" s="8"/>
    </row>
    <row r="348" spans="1:3" ht="60.75" customHeight="1">
      <c r="A348" s="31"/>
      <c r="C348" s="8"/>
    </row>
    <row r="349" spans="1:3" ht="60.75" customHeight="1">
      <c r="A349" s="31"/>
      <c r="C349" s="8"/>
    </row>
    <row r="350" spans="1:3" ht="60.75" customHeight="1">
      <c r="A350" s="31"/>
      <c r="C350" s="8"/>
    </row>
    <row r="351" spans="1:3" ht="60.75" customHeight="1">
      <c r="A351" s="31"/>
      <c r="C351" s="8"/>
    </row>
    <row r="352" spans="1:3" ht="60.75" customHeight="1">
      <c r="A352" s="31"/>
      <c r="C352" s="8"/>
    </row>
    <row r="353" spans="1:3" ht="60.75" customHeight="1">
      <c r="A353" s="31"/>
      <c r="C353" s="8"/>
    </row>
    <row r="354" spans="1:3" ht="60.75" customHeight="1">
      <c r="A354" s="31"/>
      <c r="C354" s="8"/>
    </row>
    <row r="355" spans="1:3" ht="60.75" customHeight="1">
      <c r="A355" s="31"/>
      <c r="C355" s="8"/>
    </row>
    <row r="356" spans="1:3" ht="60.75" customHeight="1">
      <c r="A356" s="31"/>
      <c r="C356" s="8"/>
    </row>
    <row r="357" spans="1:3" ht="60.75" customHeight="1">
      <c r="A357" s="31"/>
      <c r="C357" s="8"/>
    </row>
    <row r="358" spans="1:3" ht="60.75" customHeight="1">
      <c r="A358" s="31"/>
      <c r="C358" s="8"/>
    </row>
    <row r="359" spans="1:3" ht="60.75" customHeight="1">
      <c r="A359" s="31"/>
      <c r="C359" s="8"/>
    </row>
    <row r="360" spans="1:3" ht="60.75" customHeight="1">
      <c r="A360" s="31"/>
      <c r="C360" s="8"/>
    </row>
    <row r="361" spans="1:3" ht="60.75" customHeight="1">
      <c r="A361" s="31"/>
      <c r="C361" s="8"/>
    </row>
    <row r="362" spans="1:3" ht="60.75" customHeight="1">
      <c r="A362" s="31"/>
      <c r="C362" s="8"/>
    </row>
    <row r="363" spans="1:3" ht="60.75" customHeight="1">
      <c r="A363" s="31"/>
      <c r="C363" s="8"/>
    </row>
    <row r="364" spans="1:3" ht="60.75" customHeight="1">
      <c r="A364" s="31"/>
      <c r="C364" s="8"/>
    </row>
    <row r="365" spans="1:3" ht="60.75" customHeight="1">
      <c r="A365" s="31"/>
      <c r="C365" s="8"/>
    </row>
    <row r="366" spans="1:3" ht="60.75" customHeight="1">
      <c r="A366" s="31"/>
      <c r="C366" s="8"/>
    </row>
    <row r="367" spans="1:3" ht="60.75" customHeight="1">
      <c r="A367" s="31"/>
      <c r="C367" s="8"/>
    </row>
    <row r="368" spans="1:3" ht="60.75" customHeight="1">
      <c r="A368" s="31"/>
      <c r="C368" s="8"/>
    </row>
    <row r="369" spans="1:3" ht="60.75" customHeight="1">
      <c r="A369" s="31"/>
      <c r="C369" s="8"/>
    </row>
    <row r="370" spans="1:3" ht="60.75" customHeight="1">
      <c r="A370" s="31"/>
      <c r="C370" s="8"/>
    </row>
    <row r="371" spans="1:3" ht="60.75" customHeight="1">
      <c r="A371" s="31"/>
      <c r="C371" s="8"/>
    </row>
    <row r="372" spans="1:3" ht="60.75" customHeight="1">
      <c r="A372" s="31"/>
      <c r="C372" s="8"/>
    </row>
    <row r="373" spans="1:3" ht="60.75" customHeight="1">
      <c r="A373" s="31"/>
      <c r="C373" s="8"/>
    </row>
    <row r="374" spans="1:3" ht="60.75" customHeight="1">
      <c r="A374" s="31"/>
      <c r="C374" s="8"/>
    </row>
    <row r="375" spans="1:3" ht="60.75" customHeight="1">
      <c r="A375" s="31"/>
      <c r="C375" s="8"/>
    </row>
    <row r="376" spans="1:3" ht="60.75" customHeight="1">
      <c r="A376" s="31"/>
      <c r="C376" s="8"/>
    </row>
    <row r="377" spans="1:3" ht="60.75" customHeight="1">
      <c r="A377" s="31"/>
      <c r="C377" s="8"/>
    </row>
    <row r="378" spans="1:3" ht="60.75" customHeight="1">
      <c r="A378" s="31"/>
      <c r="C378" s="8"/>
    </row>
    <row r="379" spans="1:3" ht="60.75" customHeight="1">
      <c r="A379" s="31"/>
      <c r="C379" s="8"/>
    </row>
    <row r="380" spans="1:3" ht="60.75" customHeight="1">
      <c r="A380" s="31"/>
      <c r="C380" s="8"/>
    </row>
    <row r="381" spans="1:3" ht="60.75" customHeight="1">
      <c r="A381" s="31"/>
      <c r="C381" s="8"/>
    </row>
    <row r="382" spans="1:3" ht="60.75" customHeight="1">
      <c r="A382" s="31"/>
      <c r="C382" s="8"/>
    </row>
    <row r="383" spans="1:3" ht="60.75" customHeight="1">
      <c r="A383" s="31"/>
      <c r="C383" s="8"/>
    </row>
    <row r="384" spans="1:3" ht="60.75" customHeight="1">
      <c r="A384" s="31"/>
      <c r="C384" s="8"/>
    </row>
    <row r="385" spans="1:3" ht="60.75" customHeight="1">
      <c r="A385" s="31"/>
      <c r="C385" s="8"/>
    </row>
    <row r="386" spans="1:3" ht="60.75" customHeight="1">
      <c r="A386" s="31"/>
      <c r="C386" s="8"/>
    </row>
    <row r="387" spans="1:3" ht="60.75" customHeight="1">
      <c r="A387" s="31"/>
      <c r="C387" s="8"/>
    </row>
    <row r="388" spans="1:3" ht="60.75" customHeight="1">
      <c r="A388" s="31"/>
      <c r="C388" s="8"/>
    </row>
    <row r="389" spans="1:3" ht="60.75" customHeight="1">
      <c r="A389" s="31"/>
      <c r="C389" s="8"/>
    </row>
    <row r="390" spans="1:3" ht="60.75" customHeight="1">
      <c r="A390" s="31"/>
      <c r="C390" s="8"/>
    </row>
    <row r="391" spans="1:3" ht="60.75" customHeight="1">
      <c r="A391" s="31"/>
      <c r="C391" s="8"/>
    </row>
    <row r="392" spans="1:3" ht="60.75" customHeight="1">
      <c r="A392" s="31"/>
      <c r="C392" s="8"/>
    </row>
    <row r="393" spans="1:3" ht="60.75" customHeight="1">
      <c r="A393" s="31"/>
      <c r="C393" s="8"/>
    </row>
    <row r="394" spans="1:3" ht="60.75" customHeight="1">
      <c r="A394" s="31"/>
      <c r="C394" s="8"/>
    </row>
    <row r="395" spans="1:3" ht="60.75" customHeight="1">
      <c r="A395" s="31"/>
      <c r="C395" s="8"/>
    </row>
    <row r="396" spans="1:3" ht="60.75" customHeight="1">
      <c r="A396" s="31"/>
      <c r="C396" s="8"/>
    </row>
    <row r="397" spans="1:3" ht="60.75" customHeight="1">
      <c r="A397" s="31"/>
      <c r="C397" s="8"/>
    </row>
    <row r="398" spans="1:3" ht="60.75" customHeight="1">
      <c r="A398" s="31"/>
      <c r="C398" s="8"/>
    </row>
    <row r="399" spans="1:3" ht="60.75" customHeight="1">
      <c r="A399" s="31"/>
      <c r="C399" s="8"/>
    </row>
    <row r="400" spans="1:3" ht="60.75" customHeight="1">
      <c r="A400" s="31"/>
      <c r="C400" s="8"/>
    </row>
    <row r="401" spans="1:3" ht="60.75" customHeight="1">
      <c r="A401" s="31"/>
      <c r="C401" s="8"/>
    </row>
    <row r="402" spans="1:3" ht="60.75" customHeight="1">
      <c r="A402" s="31"/>
      <c r="C402" s="8"/>
    </row>
    <row r="403" spans="1:3" ht="60.75" customHeight="1">
      <c r="A403" s="31"/>
      <c r="C403" s="8"/>
    </row>
    <row r="404" spans="1:3" ht="60.75" customHeight="1">
      <c r="A404" s="31"/>
      <c r="C404" s="8"/>
    </row>
    <row r="405" spans="1:3" ht="60.75" customHeight="1">
      <c r="A405" s="31"/>
      <c r="C405" s="8"/>
    </row>
    <row r="406" spans="1:3" ht="60.75" customHeight="1">
      <c r="A406" s="31"/>
      <c r="C406" s="8"/>
    </row>
    <row r="407" spans="1:3" ht="60.75" customHeight="1">
      <c r="A407" s="31"/>
      <c r="C407" s="8"/>
    </row>
    <row r="408" spans="1:3" ht="60.75" customHeight="1">
      <c r="A408" s="31"/>
      <c r="C408" s="8"/>
    </row>
    <row r="409" spans="1:3" ht="60.75" customHeight="1">
      <c r="A409" s="31"/>
      <c r="C409" s="8"/>
    </row>
    <row r="410" spans="1:3" ht="60.75" customHeight="1">
      <c r="A410" s="31"/>
      <c r="C410" s="8"/>
    </row>
    <row r="411" spans="1:3" ht="60.75" customHeight="1">
      <c r="A411" s="31"/>
      <c r="C411" s="8"/>
    </row>
    <row r="412" spans="1:3" ht="60.75" customHeight="1">
      <c r="A412" s="31"/>
      <c r="C412" s="8"/>
    </row>
    <row r="413" spans="1:3" ht="60.75" customHeight="1">
      <c r="A413" s="31"/>
      <c r="C413" s="8"/>
    </row>
    <row r="414" spans="1:3" ht="60.75" customHeight="1">
      <c r="A414" s="31"/>
      <c r="C414" s="8"/>
    </row>
    <row r="415" spans="1:3" ht="60.75" customHeight="1">
      <c r="A415" s="31"/>
      <c r="C415" s="8"/>
    </row>
    <row r="416" spans="1:3" ht="60.75" customHeight="1">
      <c r="A416" s="31"/>
      <c r="C416" s="8"/>
    </row>
    <row r="417" spans="1:3" ht="60.75" customHeight="1">
      <c r="A417" s="31"/>
      <c r="C417" s="8"/>
    </row>
    <row r="418" spans="1:3" ht="60.75" customHeight="1">
      <c r="A418" s="31"/>
      <c r="C418" s="8"/>
    </row>
    <row r="419" spans="1:3" ht="60.75" customHeight="1">
      <c r="A419" s="31"/>
      <c r="C419" s="8"/>
    </row>
    <row r="420" spans="1:3" ht="60.75" customHeight="1">
      <c r="A420" s="31"/>
      <c r="C420" s="8"/>
    </row>
    <row r="421" spans="1:3" ht="60.75" customHeight="1">
      <c r="A421" s="31"/>
      <c r="C421" s="8"/>
    </row>
    <row r="422" spans="1:3" ht="60.75" customHeight="1">
      <c r="A422" s="31"/>
      <c r="C422" s="8"/>
    </row>
    <row r="423" spans="1:3" ht="60.75" customHeight="1">
      <c r="A423" s="31"/>
      <c r="C423" s="8"/>
    </row>
    <row r="424" spans="1:3" ht="60.75" customHeight="1">
      <c r="A424" s="31"/>
      <c r="C424" s="8"/>
    </row>
    <row r="425" spans="1:3" ht="60.75" customHeight="1">
      <c r="A425" s="31"/>
      <c r="C425" s="8"/>
    </row>
    <row r="426" spans="1:3" ht="60.75" customHeight="1">
      <c r="A426" s="31"/>
      <c r="C426" s="8"/>
    </row>
    <row r="427" spans="1:3" ht="60.75" customHeight="1">
      <c r="A427" s="31"/>
      <c r="C427" s="8"/>
    </row>
    <row r="428" spans="1:3" ht="60.75" customHeight="1">
      <c r="A428" s="31"/>
      <c r="C428" s="8"/>
    </row>
    <row r="429" spans="1:3" ht="60.75" customHeight="1">
      <c r="A429" s="31"/>
      <c r="C429" s="8"/>
    </row>
    <row r="430" spans="1:3" ht="60.75" customHeight="1">
      <c r="A430" s="31"/>
      <c r="C430" s="8"/>
    </row>
    <row r="431" spans="1:3" ht="60.75" customHeight="1">
      <c r="A431" s="31"/>
      <c r="C431" s="8"/>
    </row>
    <row r="432" spans="1:3" ht="60.75" customHeight="1">
      <c r="A432" s="31"/>
      <c r="C432" s="8"/>
    </row>
    <row r="433" spans="1:3" ht="60.75" customHeight="1">
      <c r="A433" s="31"/>
      <c r="C433" s="8"/>
    </row>
    <row r="434" spans="1:3" ht="60.75" customHeight="1">
      <c r="A434" s="31"/>
      <c r="C434" s="8"/>
    </row>
    <row r="435" spans="1:3" ht="60.75" customHeight="1">
      <c r="A435" s="31"/>
      <c r="C435" s="8"/>
    </row>
    <row r="436" spans="1:3" ht="60.75" customHeight="1">
      <c r="A436" s="31"/>
      <c r="C436" s="8"/>
    </row>
    <row r="437" spans="1:3" ht="60.75" customHeight="1">
      <c r="A437" s="31"/>
      <c r="C437" s="8"/>
    </row>
    <row r="438" spans="1:3" ht="60.75" customHeight="1">
      <c r="A438" s="31"/>
      <c r="C438" s="8"/>
    </row>
    <row r="439" spans="1:3" ht="60.75" customHeight="1">
      <c r="A439" s="31"/>
      <c r="C439" s="8"/>
    </row>
    <row r="440" spans="1:3" ht="60.75" customHeight="1">
      <c r="A440" s="31"/>
      <c r="C440" s="8"/>
    </row>
    <row r="441" spans="1:3" ht="60.75" customHeight="1">
      <c r="A441" s="31"/>
      <c r="C441" s="8"/>
    </row>
    <row r="442" spans="1:3" ht="60.75" customHeight="1">
      <c r="A442" s="31"/>
      <c r="C442" s="8"/>
    </row>
    <row r="443" spans="1:3" ht="60.75" customHeight="1">
      <c r="A443" s="31"/>
      <c r="C443" s="8"/>
    </row>
    <row r="444" spans="1:3" ht="60.75" customHeight="1">
      <c r="A444" s="31"/>
      <c r="C444" s="8"/>
    </row>
    <row r="445" spans="1:3" ht="60.75" customHeight="1">
      <c r="A445" s="31"/>
      <c r="C445" s="8"/>
    </row>
    <row r="446" spans="1:3" ht="60.75" customHeight="1">
      <c r="A446" s="31"/>
      <c r="C446" s="8"/>
    </row>
    <row r="447" spans="1:3" ht="60.75" customHeight="1">
      <c r="A447" s="31"/>
      <c r="C447" s="8"/>
    </row>
    <row r="448" spans="1:3" ht="60.75" customHeight="1">
      <c r="A448" s="31"/>
      <c r="C448" s="8"/>
    </row>
    <row r="449" spans="1:3" ht="60.75" customHeight="1">
      <c r="A449" s="31"/>
      <c r="C449" s="8"/>
    </row>
    <row r="450" spans="1:3" ht="60.75" customHeight="1">
      <c r="A450" s="31"/>
      <c r="C450" s="8"/>
    </row>
    <row r="451" spans="1:3" ht="60.75" customHeight="1">
      <c r="A451" s="31"/>
      <c r="C451" s="8"/>
    </row>
    <row r="452" spans="1:3" ht="60.75" customHeight="1">
      <c r="A452" s="31"/>
      <c r="C452" s="8"/>
    </row>
    <row r="453" spans="1:3" ht="60.75" customHeight="1">
      <c r="A453" s="31"/>
      <c r="C453" s="8"/>
    </row>
    <row r="454" spans="1:3" ht="60.75" customHeight="1">
      <c r="A454" s="31"/>
      <c r="C454" s="8"/>
    </row>
    <row r="455" spans="1:3" ht="60.75" customHeight="1">
      <c r="A455" s="31"/>
      <c r="C455" s="8"/>
    </row>
    <row r="456" spans="1:3" ht="60.75" customHeight="1">
      <c r="A456" s="31"/>
      <c r="C456" s="8"/>
    </row>
    <row r="457" spans="1:3" ht="60.75" customHeight="1">
      <c r="A457" s="31"/>
      <c r="C457" s="8"/>
    </row>
    <row r="458" spans="1:3" ht="60.75" customHeight="1">
      <c r="A458" s="31"/>
      <c r="C458" s="8"/>
    </row>
    <row r="459" spans="1:3" ht="60.75" customHeight="1">
      <c r="A459" s="31"/>
      <c r="C459" s="8"/>
    </row>
    <row r="460" spans="1:3" ht="60.75" customHeight="1">
      <c r="A460" s="31"/>
      <c r="C460" s="8"/>
    </row>
    <row r="461" spans="1:3" ht="60.75" customHeight="1">
      <c r="A461" s="31"/>
      <c r="C461" s="8"/>
    </row>
    <row r="462" spans="1:3" ht="60.75" customHeight="1">
      <c r="A462" s="31"/>
      <c r="C462" s="8"/>
    </row>
    <row r="463" spans="1:3" ht="60.75" customHeight="1">
      <c r="A463" s="31"/>
      <c r="C463" s="8"/>
    </row>
    <row r="464" spans="1:3" ht="60.75" customHeight="1">
      <c r="A464" s="31"/>
      <c r="C464" s="8"/>
    </row>
    <row r="465" spans="1:3" ht="60.75" customHeight="1">
      <c r="A465" s="31"/>
      <c r="C465" s="8"/>
    </row>
    <row r="466" spans="1:3" ht="60.75" customHeight="1">
      <c r="A466" s="31"/>
      <c r="C466" s="8"/>
    </row>
    <row r="467" spans="1:3" ht="60.75" customHeight="1">
      <c r="A467" s="31"/>
      <c r="C467" s="8"/>
    </row>
    <row r="468" spans="1:3" ht="60.75" customHeight="1">
      <c r="A468" s="31"/>
      <c r="C468" s="8"/>
    </row>
    <row r="469" spans="1:3" ht="60.75" customHeight="1">
      <c r="A469" s="31"/>
      <c r="C469" s="8"/>
    </row>
    <row r="470" spans="1:3" ht="60.75" customHeight="1">
      <c r="A470" s="31"/>
      <c r="C470" s="8"/>
    </row>
    <row r="471" spans="1:3" ht="60.75" customHeight="1">
      <c r="A471" s="31"/>
      <c r="C471" s="8"/>
    </row>
    <row r="472" spans="1:3" ht="60.75" customHeight="1">
      <c r="A472" s="31"/>
      <c r="C472" s="8"/>
    </row>
    <row r="473" spans="1:3" ht="60.75" customHeight="1">
      <c r="A473" s="31"/>
      <c r="C473" s="8"/>
    </row>
    <row r="474" spans="1:3" ht="60.75" customHeight="1">
      <c r="A474" s="31"/>
      <c r="C474" s="8"/>
    </row>
    <row r="475" spans="1:3" ht="60.75" customHeight="1">
      <c r="A475" s="31"/>
      <c r="C475" s="8"/>
    </row>
    <row r="476" spans="1:3" ht="60.75" customHeight="1">
      <c r="A476" s="31"/>
      <c r="C476" s="8"/>
    </row>
    <row r="477" spans="1:3" ht="60.75" customHeight="1">
      <c r="A477" s="31"/>
      <c r="C477" s="8"/>
    </row>
    <row r="478" spans="1:3" ht="60.75" customHeight="1">
      <c r="A478" s="31"/>
      <c r="C478" s="8"/>
    </row>
    <row r="479" spans="1:3" ht="60.75" customHeight="1">
      <c r="A479" s="31"/>
      <c r="C479" s="8"/>
    </row>
    <row r="480" spans="1:3" ht="60.75" customHeight="1">
      <c r="A480" s="31"/>
      <c r="C480" s="8"/>
    </row>
    <row r="481" spans="1:3" ht="60.75" customHeight="1">
      <c r="A481" s="31"/>
      <c r="C481" s="8"/>
    </row>
    <row r="482" spans="1:3" ht="60.75" customHeight="1">
      <c r="A482" s="31"/>
      <c r="C482" s="8"/>
    </row>
    <row r="483" spans="1:3" ht="60.75" customHeight="1">
      <c r="A483" s="31"/>
      <c r="C483" s="8"/>
    </row>
    <row r="484" spans="1:3" ht="60.75" customHeight="1">
      <c r="A484" s="31"/>
      <c r="C484" s="8"/>
    </row>
    <row r="485" spans="1:3" ht="60.75" customHeight="1">
      <c r="A485" s="31"/>
      <c r="C485" s="8"/>
    </row>
    <row r="486" spans="1:3" ht="60.75" customHeight="1">
      <c r="A486" s="31"/>
      <c r="C486" s="8"/>
    </row>
    <row r="487" spans="1:3" ht="60.75" customHeight="1">
      <c r="A487" s="31"/>
      <c r="C487" s="8"/>
    </row>
    <row r="488" spans="1:3" ht="60.75" customHeight="1">
      <c r="A488" s="31"/>
      <c r="C488" s="8"/>
    </row>
    <row r="489" spans="1:3" ht="60.75" customHeight="1">
      <c r="A489" s="31"/>
      <c r="C489" s="8"/>
    </row>
    <row r="490" spans="1:3" ht="60.75" customHeight="1">
      <c r="A490" s="31"/>
      <c r="C490" s="8"/>
    </row>
    <row r="491" spans="1:3" ht="60.75" customHeight="1">
      <c r="A491" s="31"/>
      <c r="C491" s="8"/>
    </row>
    <row r="492" spans="1:3" ht="60.75" customHeight="1">
      <c r="A492" s="31"/>
      <c r="C492" s="8"/>
    </row>
    <row r="493" spans="1:3" ht="60.75" customHeight="1">
      <c r="A493" s="31"/>
      <c r="C493" s="8"/>
    </row>
    <row r="494" spans="1:3" ht="60.75" customHeight="1">
      <c r="A494" s="31"/>
      <c r="C494" s="8"/>
    </row>
    <row r="495" spans="1:3" ht="60.75" customHeight="1">
      <c r="A495" s="31"/>
      <c r="C495" s="8"/>
    </row>
    <row r="496" spans="1:3" ht="60.75" customHeight="1">
      <c r="A496" s="31"/>
      <c r="C496" s="8"/>
    </row>
    <row r="497" spans="1:3" ht="60.75" customHeight="1">
      <c r="A497" s="31"/>
      <c r="C497" s="8"/>
    </row>
    <row r="498" spans="1:3" ht="60.75" customHeight="1">
      <c r="A498" s="31"/>
      <c r="C498" s="8"/>
    </row>
    <row r="499" spans="1:3" ht="60.75" customHeight="1">
      <c r="A499" s="31"/>
      <c r="C499" s="8"/>
    </row>
    <row r="500" spans="1:3" ht="60.75" customHeight="1">
      <c r="A500" s="31"/>
      <c r="C500" s="8"/>
    </row>
    <row r="501" spans="1:3" ht="60.75" customHeight="1">
      <c r="A501" s="31"/>
      <c r="C501" s="8"/>
    </row>
    <row r="502" spans="1:3" ht="60.75" customHeight="1">
      <c r="A502" s="31"/>
      <c r="C502" s="8"/>
    </row>
    <row r="503" spans="1:3" ht="60.75" customHeight="1">
      <c r="A503" s="31"/>
      <c r="C503" s="8"/>
    </row>
    <row r="504" spans="1:3" ht="60.75" customHeight="1">
      <c r="A504" s="31"/>
      <c r="C504" s="8"/>
    </row>
    <row r="505" spans="1:3" ht="60.75" customHeight="1">
      <c r="A505" s="31"/>
      <c r="C505" s="8"/>
    </row>
    <row r="506" spans="1:3" ht="60.75" customHeight="1">
      <c r="A506" s="31"/>
      <c r="C506" s="8"/>
    </row>
    <row r="507" spans="1:3" ht="60.75" customHeight="1">
      <c r="A507" s="31"/>
      <c r="C507" s="8"/>
    </row>
    <row r="508" spans="1:3" ht="60.75" customHeight="1">
      <c r="A508" s="31"/>
      <c r="C508" s="8"/>
    </row>
    <row r="509" spans="1:3" ht="60.75" customHeight="1">
      <c r="A509" s="31"/>
      <c r="C509" s="8"/>
    </row>
    <row r="510" spans="1:3" ht="60.75" customHeight="1">
      <c r="A510" s="31"/>
      <c r="C510" s="8"/>
    </row>
    <row r="511" spans="1:3" ht="60.75" customHeight="1">
      <c r="A511" s="31"/>
      <c r="C511" s="8"/>
    </row>
    <row r="512" spans="1:3" ht="60.75" customHeight="1">
      <c r="A512" s="31"/>
      <c r="C512" s="8"/>
    </row>
    <row r="513" spans="1:3" ht="60.75" customHeight="1">
      <c r="A513" s="31"/>
      <c r="C513" s="8"/>
    </row>
    <row r="514" spans="1:3" ht="60.75" customHeight="1">
      <c r="A514" s="31"/>
      <c r="C514" s="8"/>
    </row>
    <row r="515" spans="1:3" ht="60.75" customHeight="1">
      <c r="A515" s="31"/>
      <c r="C515" s="8"/>
    </row>
    <row r="516" spans="1:3" ht="60.75" customHeight="1">
      <c r="A516" s="31"/>
      <c r="C516" s="8"/>
    </row>
    <row r="517" spans="1:3" ht="60.75" customHeight="1">
      <c r="A517" s="31"/>
      <c r="C517" s="8"/>
    </row>
    <row r="518" spans="1:3" ht="60.75" customHeight="1">
      <c r="A518" s="31"/>
      <c r="C518" s="8"/>
    </row>
    <row r="519" spans="1:3" ht="60.75" customHeight="1">
      <c r="A519" s="31"/>
      <c r="C519" s="8"/>
    </row>
    <row r="520" spans="1:3" ht="60.75" customHeight="1">
      <c r="A520" s="31"/>
      <c r="C520" s="8"/>
    </row>
    <row r="521" spans="1:3" ht="60.75" customHeight="1">
      <c r="A521" s="31"/>
      <c r="C521" s="8"/>
    </row>
    <row r="522" spans="1:3" ht="60.75" customHeight="1">
      <c r="A522" s="31"/>
      <c r="C522" s="8"/>
    </row>
    <row r="523" spans="1:3" ht="60.75" customHeight="1">
      <c r="A523" s="31"/>
      <c r="C523" s="8"/>
    </row>
    <row r="524" spans="1:3" ht="60.75" customHeight="1">
      <c r="A524" s="31"/>
      <c r="C524" s="8"/>
    </row>
    <row r="525" spans="1:3" ht="60.75" customHeight="1">
      <c r="A525" s="31"/>
      <c r="C525" s="8"/>
    </row>
    <row r="526" spans="1:3" ht="60.75" customHeight="1">
      <c r="A526" s="31"/>
      <c r="C526" s="8"/>
    </row>
    <row r="527" spans="1:3" ht="60.75" customHeight="1">
      <c r="A527" s="31"/>
      <c r="C527" s="8"/>
    </row>
    <row r="528" spans="1:3" ht="60.75" customHeight="1">
      <c r="A528" s="31"/>
      <c r="C528" s="8"/>
    </row>
    <row r="529" spans="1:3" ht="60.75" customHeight="1">
      <c r="A529" s="31"/>
      <c r="C529" s="8"/>
    </row>
    <row r="530" spans="1:3" ht="60.75" customHeight="1">
      <c r="A530" s="31"/>
      <c r="C530" s="8"/>
    </row>
    <row r="531" spans="1:3" ht="60.75" customHeight="1">
      <c r="A531" s="31"/>
      <c r="C531" s="8"/>
    </row>
    <row r="532" spans="1:3" ht="60.75" customHeight="1">
      <c r="A532" s="31"/>
      <c r="C532" s="8"/>
    </row>
    <row r="533" spans="1:3" ht="60.75" customHeight="1">
      <c r="A533" s="31"/>
      <c r="C533" s="8"/>
    </row>
    <row r="534" spans="1:3" ht="60.75" customHeight="1">
      <c r="A534" s="31"/>
      <c r="C534" s="8"/>
    </row>
    <row r="535" spans="1:3" ht="60.75" customHeight="1">
      <c r="A535" s="31"/>
      <c r="C535" s="8"/>
    </row>
    <row r="536" spans="1:3" ht="60.75" customHeight="1">
      <c r="A536" s="31"/>
      <c r="C536" s="8"/>
    </row>
    <row r="537" spans="1:3" ht="60.75" customHeight="1">
      <c r="A537" s="31"/>
      <c r="C537" s="8"/>
    </row>
    <row r="538" spans="1:3" ht="60.75" customHeight="1">
      <c r="A538" s="31"/>
      <c r="C538" s="8"/>
    </row>
    <row r="539" spans="1:3" ht="60.75" customHeight="1">
      <c r="A539" s="31"/>
      <c r="C539" s="8"/>
    </row>
    <row r="540" spans="1:3" ht="60.75" customHeight="1">
      <c r="A540" s="31"/>
      <c r="C540" s="8"/>
    </row>
    <row r="541" spans="1:3" ht="60.75" customHeight="1">
      <c r="A541" s="31"/>
      <c r="C541" s="8"/>
    </row>
    <row r="542" spans="1:3" ht="60.75" customHeight="1">
      <c r="A542" s="31"/>
      <c r="C542" s="8"/>
    </row>
    <row r="543" spans="1:3" ht="60.75" customHeight="1">
      <c r="A543" s="31"/>
      <c r="C543" s="8"/>
    </row>
    <row r="544" spans="1:3" ht="60.75" customHeight="1">
      <c r="A544" s="31"/>
      <c r="C544" s="8"/>
    </row>
    <row r="545" spans="1:3" ht="60.75" customHeight="1">
      <c r="A545" s="31"/>
      <c r="C545" s="8"/>
    </row>
    <row r="546" spans="1:3" ht="60.75" customHeight="1">
      <c r="A546" s="31"/>
      <c r="C546" s="8"/>
    </row>
    <row r="547" spans="1:3" ht="60.75" customHeight="1">
      <c r="A547" s="31"/>
      <c r="C547" s="8"/>
    </row>
    <row r="548" spans="1:3" ht="60.75" customHeight="1">
      <c r="A548" s="31"/>
      <c r="C548" s="8"/>
    </row>
    <row r="549" spans="1:3" ht="60.75" customHeight="1">
      <c r="A549" s="31"/>
      <c r="C549" s="8"/>
    </row>
    <row r="550" spans="1:3" ht="60.75" customHeight="1">
      <c r="A550" s="31"/>
      <c r="C550" s="8"/>
    </row>
    <row r="551" spans="1:3" ht="60.75" customHeight="1">
      <c r="A551" s="31"/>
      <c r="C551" s="8"/>
    </row>
    <row r="552" spans="1:3" ht="60.75" customHeight="1">
      <c r="A552" s="31"/>
      <c r="C552" s="8"/>
    </row>
    <row r="553" spans="1:3" ht="60.75" customHeight="1">
      <c r="A553" s="31"/>
      <c r="C553" s="8"/>
    </row>
    <row r="554" spans="1:3" ht="60.75" customHeight="1">
      <c r="A554" s="31"/>
      <c r="C554" s="8"/>
    </row>
    <row r="555" spans="1:3" ht="60.75" customHeight="1">
      <c r="A555" s="31"/>
      <c r="C555" s="8"/>
    </row>
    <row r="556" spans="1:3" ht="60.75" customHeight="1">
      <c r="A556" s="31"/>
      <c r="C556" s="8"/>
    </row>
    <row r="557" spans="1:3" ht="60.75" customHeight="1">
      <c r="A557" s="31"/>
      <c r="C557" s="8"/>
    </row>
    <row r="558" spans="1:3" ht="60.75" customHeight="1">
      <c r="A558" s="31"/>
      <c r="C558" s="8"/>
    </row>
    <row r="559" spans="1:3" ht="60.75" customHeight="1">
      <c r="A559" s="31"/>
      <c r="C559" s="8"/>
    </row>
    <row r="560" spans="1:3" ht="60.75" customHeight="1">
      <c r="A560" s="31"/>
      <c r="C560" s="8"/>
    </row>
    <row r="561" spans="1:3" ht="60.75" customHeight="1">
      <c r="A561" s="31"/>
      <c r="C561" s="8"/>
    </row>
    <row r="562" spans="1:3" ht="60.75" customHeight="1">
      <c r="A562" s="31"/>
      <c r="C562" s="8"/>
    </row>
    <row r="563" spans="1:3" ht="60.75" customHeight="1">
      <c r="A563" s="31"/>
      <c r="C563" s="8"/>
    </row>
    <row r="564" spans="1:3" ht="60.75" customHeight="1">
      <c r="A564" s="31"/>
      <c r="C564" s="8"/>
    </row>
    <row r="565" spans="1:3" ht="60.75" customHeight="1">
      <c r="A565" s="31"/>
      <c r="C565" s="8"/>
    </row>
    <row r="566" spans="1:3" ht="60.75" customHeight="1">
      <c r="A566" s="31"/>
      <c r="C566" s="8"/>
    </row>
    <row r="567" spans="1:3" ht="60.75" customHeight="1">
      <c r="A567" s="31"/>
      <c r="C567" s="8"/>
    </row>
    <row r="568" spans="1:3" ht="60.75" customHeight="1">
      <c r="A568" s="31"/>
      <c r="C568" s="8"/>
    </row>
    <row r="569" spans="1:3" ht="60.75" customHeight="1">
      <c r="A569" s="31"/>
      <c r="C569" s="8"/>
    </row>
    <row r="570" spans="1:3" ht="60.75" customHeight="1">
      <c r="A570" s="31"/>
      <c r="C570" s="8"/>
    </row>
    <row r="571" spans="1:3" ht="60.75" customHeight="1">
      <c r="A571" s="31"/>
      <c r="C571" s="8"/>
    </row>
    <row r="572" spans="1:3" ht="60.75" customHeight="1">
      <c r="A572" s="31"/>
      <c r="C572" s="8"/>
    </row>
    <row r="573" spans="1:3" ht="60.75" customHeight="1">
      <c r="A573" s="31"/>
      <c r="C573" s="8"/>
    </row>
    <row r="574" spans="1:3" ht="60.75" customHeight="1">
      <c r="A574" s="31"/>
      <c r="C574" s="8"/>
    </row>
    <row r="575" spans="1:3" ht="60.75" customHeight="1">
      <c r="A575" s="31"/>
      <c r="C575" s="8"/>
    </row>
    <row r="576" spans="1:3" ht="60.75" customHeight="1">
      <c r="A576" s="31"/>
      <c r="C576" s="8"/>
    </row>
    <row r="577" spans="1:3" ht="60.75" customHeight="1">
      <c r="A577" s="31"/>
      <c r="C577" s="8"/>
    </row>
    <row r="578" spans="1:3" ht="60.75" customHeight="1">
      <c r="A578" s="31"/>
      <c r="C578" s="8"/>
    </row>
    <row r="579" spans="1:3" ht="60.75" customHeight="1">
      <c r="A579" s="31"/>
      <c r="C579" s="8"/>
    </row>
    <row r="580" spans="1:3" ht="60.75" customHeight="1">
      <c r="A580" s="31"/>
      <c r="C580" s="8"/>
    </row>
    <row r="581" spans="1:3" ht="60.75" customHeight="1">
      <c r="A581" s="31"/>
      <c r="C581" s="8"/>
    </row>
    <row r="582" spans="1:3" ht="60.75" customHeight="1">
      <c r="A582" s="31"/>
      <c r="C582" s="8"/>
    </row>
    <row r="583" spans="1:3" ht="60.75" customHeight="1">
      <c r="A583" s="31"/>
      <c r="C583" s="8"/>
    </row>
    <row r="584" spans="1:3" ht="60.75" customHeight="1">
      <c r="A584" s="31"/>
      <c r="C584" s="8"/>
    </row>
    <row r="585" spans="1:3" ht="60.75" customHeight="1">
      <c r="A585" s="31"/>
      <c r="C585" s="8"/>
    </row>
    <row r="586" spans="1:3" ht="60.75" customHeight="1">
      <c r="A586" s="31"/>
      <c r="C586" s="8"/>
    </row>
    <row r="587" spans="1:3" ht="60.75" customHeight="1">
      <c r="A587" s="31"/>
      <c r="C587" s="8"/>
    </row>
    <row r="588" spans="1:3" ht="60.75" customHeight="1">
      <c r="A588" s="31"/>
      <c r="C588" s="8"/>
    </row>
    <row r="589" spans="1:3" ht="60.75" customHeight="1">
      <c r="A589" s="31"/>
      <c r="C589" s="8"/>
    </row>
    <row r="590" spans="1:3" ht="60.75" customHeight="1">
      <c r="A590" s="31"/>
      <c r="C590" s="8"/>
    </row>
    <row r="591" spans="1:3" ht="60.75" customHeight="1">
      <c r="A591" s="31"/>
      <c r="C591" s="8"/>
    </row>
    <row r="592" spans="1:3" ht="60.75" customHeight="1">
      <c r="A592" s="31"/>
      <c r="C592" s="8"/>
    </row>
    <row r="593" spans="1:3" ht="60.75" customHeight="1">
      <c r="A593" s="31"/>
      <c r="C593" s="8"/>
    </row>
    <row r="594" spans="1:3" ht="60.75" customHeight="1">
      <c r="A594" s="31"/>
      <c r="C594" s="8"/>
    </row>
    <row r="595" spans="1:3" ht="60.75" customHeight="1">
      <c r="A595" s="31"/>
      <c r="C595" s="8"/>
    </row>
    <row r="596" spans="1:3" ht="60.75" customHeight="1">
      <c r="A596" s="31"/>
      <c r="C596" s="8"/>
    </row>
    <row r="597" spans="1:3" ht="60.75" customHeight="1">
      <c r="A597" s="31"/>
      <c r="C597" s="8"/>
    </row>
    <row r="598" spans="1:3" ht="60.75" customHeight="1">
      <c r="A598" s="31"/>
      <c r="C598" s="8"/>
    </row>
    <row r="599" spans="1:3" ht="60.75" customHeight="1">
      <c r="A599" s="31"/>
      <c r="C599" s="8"/>
    </row>
    <row r="600" spans="1:3" ht="60.75" customHeight="1">
      <c r="A600" s="31"/>
      <c r="C600" s="8"/>
    </row>
    <row r="601" spans="1:3" ht="60.75" customHeight="1">
      <c r="A601" s="31"/>
      <c r="C601" s="8"/>
    </row>
    <row r="602" spans="1:3" ht="60.75" customHeight="1">
      <c r="A602" s="31"/>
      <c r="C602" s="8"/>
    </row>
    <row r="603" spans="1:3" ht="60.75" customHeight="1">
      <c r="A603" s="31"/>
      <c r="C603" s="8"/>
    </row>
    <row r="604" spans="1:3" ht="60.75" customHeight="1">
      <c r="A604" s="31"/>
      <c r="C604" s="8"/>
    </row>
    <row r="605" spans="1:3" ht="60.75" customHeight="1">
      <c r="A605" s="31"/>
      <c r="C605" s="8"/>
    </row>
    <row r="606" spans="1:3" ht="60.75" customHeight="1">
      <c r="A606" s="31"/>
      <c r="C606" s="8"/>
    </row>
    <row r="607" spans="1:3" ht="60.75" customHeight="1">
      <c r="A607" s="31"/>
      <c r="C607" s="8"/>
    </row>
    <row r="608" spans="1:3" ht="60.75" customHeight="1">
      <c r="A608" s="31"/>
      <c r="C608" s="8"/>
    </row>
    <row r="609" spans="1:3" ht="60.75" customHeight="1">
      <c r="A609" s="31"/>
      <c r="C609" s="8"/>
    </row>
    <row r="610" spans="1:3" ht="60.75" customHeight="1">
      <c r="A610" s="31"/>
      <c r="C610" s="8"/>
    </row>
    <row r="611" spans="1:3" ht="60.75" customHeight="1">
      <c r="A611" s="31"/>
      <c r="C611" s="8"/>
    </row>
    <row r="612" spans="1:3" ht="60.75" customHeight="1">
      <c r="A612" s="31"/>
      <c r="C612" s="8"/>
    </row>
    <row r="613" spans="1:3" ht="60.75" customHeight="1">
      <c r="A613" s="31"/>
      <c r="C613" s="8"/>
    </row>
    <row r="614" spans="1:3" ht="60.75" customHeight="1">
      <c r="A614" s="31"/>
      <c r="C614" s="8"/>
    </row>
    <row r="615" spans="1:3" ht="60.75" customHeight="1">
      <c r="A615" s="31"/>
      <c r="C615" s="8"/>
    </row>
    <row r="616" spans="1:3" ht="60.75" customHeight="1">
      <c r="A616" s="31"/>
      <c r="C616" s="8"/>
    </row>
    <row r="617" spans="1:3" ht="60.75" customHeight="1">
      <c r="A617" s="31"/>
      <c r="C617" s="8"/>
    </row>
    <row r="618" spans="1:3" ht="60.75" customHeight="1">
      <c r="A618" s="31"/>
      <c r="C618" s="8"/>
    </row>
    <row r="619" spans="1:3" ht="60.75" customHeight="1">
      <c r="A619" s="31"/>
      <c r="C619" s="8"/>
    </row>
    <row r="620" spans="1:3" ht="60.75" customHeight="1">
      <c r="A620" s="31"/>
      <c r="C620" s="8"/>
    </row>
    <row r="621" spans="1:3" ht="60.75" customHeight="1">
      <c r="A621" s="31"/>
      <c r="C621" s="8"/>
    </row>
    <row r="622" spans="1:3" ht="60.75" customHeight="1">
      <c r="A622" s="31"/>
      <c r="C622" s="8"/>
    </row>
    <row r="623" spans="1:3" ht="60.75" customHeight="1">
      <c r="A623" s="31"/>
      <c r="C623" s="8"/>
    </row>
    <row r="624" spans="1:3" ht="60.75" customHeight="1">
      <c r="A624" s="31"/>
      <c r="C624" s="8"/>
    </row>
    <row r="625" spans="1:3" ht="60.75" customHeight="1">
      <c r="A625" s="31"/>
      <c r="C625" s="8"/>
    </row>
    <row r="626" spans="1:3" ht="60.75" customHeight="1">
      <c r="A626" s="31"/>
      <c r="C626" s="8"/>
    </row>
    <row r="627" spans="1:3" ht="60.75" customHeight="1">
      <c r="A627" s="31"/>
      <c r="C627" s="8"/>
    </row>
    <row r="628" spans="1:3" ht="60.75" customHeight="1">
      <c r="A628" s="31"/>
      <c r="C628" s="8"/>
    </row>
    <row r="629" spans="1:3" ht="60.75" customHeight="1">
      <c r="A629" s="31"/>
      <c r="C629" s="8"/>
    </row>
    <row r="630" spans="1:3" ht="60.75" customHeight="1">
      <c r="A630" s="31"/>
      <c r="C630" s="8"/>
    </row>
    <row r="631" spans="1:3" ht="60.75" customHeight="1">
      <c r="A631" s="31"/>
      <c r="C631" s="8"/>
    </row>
    <row r="632" spans="1:3" ht="60.75" customHeight="1">
      <c r="A632" s="31"/>
      <c r="C632" s="8"/>
    </row>
    <row r="633" spans="1:3" ht="60.75" customHeight="1">
      <c r="A633" s="31"/>
      <c r="C633" s="8"/>
    </row>
    <row r="634" spans="1:3" ht="60.75" customHeight="1">
      <c r="A634" s="31"/>
      <c r="C634" s="8"/>
    </row>
    <row r="635" spans="1:3" ht="60.75" customHeight="1">
      <c r="A635" s="31"/>
      <c r="C635" s="8"/>
    </row>
    <row r="636" spans="1:3" ht="60.75" customHeight="1">
      <c r="A636" s="31"/>
      <c r="C636" s="8"/>
    </row>
    <row r="637" spans="1:3" ht="60.75" customHeight="1">
      <c r="A637" s="31"/>
      <c r="C637" s="8"/>
    </row>
    <row r="638" spans="1:3" ht="60.75" customHeight="1">
      <c r="A638" s="31"/>
      <c r="C638" s="8"/>
    </row>
    <row r="639" spans="1:3" ht="60.75" customHeight="1">
      <c r="A639" s="31"/>
      <c r="C639" s="8"/>
    </row>
    <row r="640" spans="1:3" ht="60.75" customHeight="1">
      <c r="A640" s="31"/>
      <c r="C640" s="8"/>
    </row>
    <row r="641" spans="1:3" ht="60.75" customHeight="1">
      <c r="A641" s="31"/>
      <c r="C641" s="8"/>
    </row>
    <row r="642" spans="1:3" ht="60.75" customHeight="1">
      <c r="A642" s="31"/>
      <c r="C642" s="8"/>
    </row>
    <row r="643" spans="1:3" ht="60.75" customHeight="1">
      <c r="A643" s="31"/>
      <c r="C643" s="8"/>
    </row>
    <row r="644" spans="1:3" ht="60.75" customHeight="1">
      <c r="A644" s="31"/>
      <c r="C644" s="8"/>
    </row>
    <row r="645" spans="1:3" ht="60.75" customHeight="1">
      <c r="A645" s="31"/>
      <c r="C645" s="8"/>
    </row>
    <row r="646" spans="1:3" ht="60.75" customHeight="1">
      <c r="A646" s="31"/>
      <c r="C646" s="8"/>
    </row>
    <row r="647" spans="1:3" ht="60.75" customHeight="1">
      <c r="A647" s="31"/>
      <c r="C647" s="8"/>
    </row>
    <row r="648" spans="1:3" ht="60.75" customHeight="1">
      <c r="A648" s="31"/>
      <c r="C648" s="8"/>
    </row>
    <row r="649" spans="1:3" ht="60.75" customHeight="1">
      <c r="A649" s="31"/>
      <c r="C649" s="8"/>
    </row>
    <row r="650" spans="1:3" ht="60.75" customHeight="1">
      <c r="A650" s="31"/>
      <c r="C650" s="8"/>
    </row>
    <row r="651" spans="1:3" ht="60.75" customHeight="1">
      <c r="A651" s="31"/>
      <c r="C651" s="8"/>
    </row>
    <row r="652" spans="1:3" ht="60.75" customHeight="1">
      <c r="A652" s="31"/>
      <c r="C652" s="8"/>
    </row>
    <row r="653" spans="1:3" ht="60.75" customHeight="1">
      <c r="A653" s="31"/>
      <c r="C653" s="8"/>
    </row>
    <row r="654" spans="1:3" ht="60.75" customHeight="1">
      <c r="A654" s="31"/>
      <c r="C654" s="8"/>
    </row>
    <row r="655" spans="1:3" ht="60.75" customHeight="1">
      <c r="A655" s="31"/>
      <c r="C655" s="8"/>
    </row>
    <row r="656" spans="1:3" ht="60.75" customHeight="1">
      <c r="A656" s="31"/>
      <c r="C656" s="8"/>
    </row>
    <row r="657" spans="1:3" ht="60.75" customHeight="1">
      <c r="A657" s="31"/>
      <c r="C657" s="8"/>
    </row>
    <row r="658" spans="1:3" ht="60.75" customHeight="1">
      <c r="A658" s="31"/>
      <c r="C658" s="8"/>
    </row>
    <row r="659" spans="1:3" ht="60.75" customHeight="1">
      <c r="A659" s="31"/>
      <c r="C659" s="8"/>
    </row>
    <row r="660" spans="1:3" ht="60.75" customHeight="1">
      <c r="A660" s="31"/>
      <c r="C660" s="8"/>
    </row>
    <row r="661" spans="1:3" ht="60.75" customHeight="1">
      <c r="A661" s="31"/>
      <c r="C661" s="8"/>
    </row>
    <row r="662" spans="1:3" ht="60.75" customHeight="1">
      <c r="A662" s="31"/>
      <c r="C662" s="8"/>
    </row>
    <row r="663" spans="1:3" ht="60.75" customHeight="1">
      <c r="A663" s="31"/>
      <c r="C663" s="8"/>
    </row>
    <row r="664" spans="1:3" ht="60.75" customHeight="1">
      <c r="A664" s="31"/>
      <c r="C664" s="8"/>
    </row>
    <row r="665" spans="1:3" ht="60.75" customHeight="1">
      <c r="A665" s="31"/>
      <c r="C665" s="8"/>
    </row>
    <row r="666" spans="1:3" ht="60.75" customHeight="1">
      <c r="A666" s="31"/>
      <c r="C666" s="8"/>
    </row>
    <row r="667" spans="1:3" ht="60.75" customHeight="1">
      <c r="A667" s="31"/>
      <c r="C667" s="8"/>
    </row>
    <row r="668" spans="1:3" ht="60.75" customHeight="1">
      <c r="A668" s="31"/>
      <c r="C668" s="8"/>
    </row>
    <row r="669" spans="1:3" ht="60.75" customHeight="1">
      <c r="A669" s="31"/>
      <c r="C669" s="8"/>
    </row>
    <row r="670" spans="1:3" ht="60.75" customHeight="1">
      <c r="A670" s="31"/>
      <c r="C670" s="8"/>
    </row>
    <row r="671" spans="1:3" ht="60.75" customHeight="1">
      <c r="A671" s="31"/>
      <c r="C671" s="8"/>
    </row>
    <row r="672" spans="1:3" ht="60.75" customHeight="1">
      <c r="A672" s="31"/>
      <c r="C672" s="8"/>
    </row>
    <row r="673" spans="1:3" ht="60.75" customHeight="1">
      <c r="A673" s="31"/>
      <c r="C673" s="8"/>
    </row>
    <row r="674" spans="1:3" ht="60.75" customHeight="1">
      <c r="A674" s="31"/>
      <c r="C674" s="8"/>
    </row>
    <row r="675" spans="1:3" ht="60.75" customHeight="1">
      <c r="A675" s="31"/>
      <c r="C675" s="8"/>
    </row>
    <row r="676" spans="1:3" ht="60.75" customHeight="1">
      <c r="A676" s="31"/>
      <c r="C676" s="8"/>
    </row>
    <row r="677" spans="1:3" ht="60.75" customHeight="1">
      <c r="A677" s="31"/>
      <c r="C677" s="8"/>
    </row>
    <row r="678" spans="1:3" ht="60.75" customHeight="1">
      <c r="A678" s="31"/>
      <c r="C678" s="8"/>
    </row>
    <row r="679" spans="1:3" ht="60.75" customHeight="1">
      <c r="A679" s="31"/>
      <c r="C679" s="8"/>
    </row>
    <row r="680" spans="1:3" ht="60.75" customHeight="1">
      <c r="A680" s="31"/>
      <c r="C680" s="8"/>
    </row>
    <row r="681" spans="1:3" ht="60.75" customHeight="1">
      <c r="A681" s="31"/>
      <c r="C681" s="8"/>
    </row>
    <row r="682" spans="1:3" ht="60.75" customHeight="1">
      <c r="A682" s="31"/>
      <c r="C682" s="8"/>
    </row>
    <row r="683" spans="1:3" ht="60.75" customHeight="1">
      <c r="A683" s="31"/>
      <c r="C683" s="8"/>
    </row>
    <row r="684" spans="1:3" ht="60.75" customHeight="1">
      <c r="A684" s="31"/>
      <c r="C684" s="8"/>
    </row>
    <row r="685" spans="1:3" ht="60.75" customHeight="1">
      <c r="A685" s="31"/>
      <c r="C685" s="8"/>
    </row>
    <row r="686" spans="1:3" ht="60.75" customHeight="1">
      <c r="A686" s="31"/>
      <c r="C686" s="8"/>
    </row>
    <row r="687" spans="1:3" ht="60.75" customHeight="1">
      <c r="A687" s="31"/>
      <c r="C687" s="8"/>
    </row>
    <row r="688" spans="1:3" ht="60.75" customHeight="1">
      <c r="A688" s="31"/>
      <c r="C688" s="8"/>
    </row>
    <row r="689" spans="1:3" ht="60.75" customHeight="1">
      <c r="A689" s="31"/>
      <c r="C689" s="8"/>
    </row>
    <row r="690" spans="1:3" ht="60.75" customHeight="1">
      <c r="A690" s="31"/>
      <c r="C690" s="8"/>
    </row>
    <row r="691" spans="1:3" ht="60.75" customHeight="1">
      <c r="A691" s="31"/>
      <c r="C691" s="8"/>
    </row>
    <row r="692" spans="1:3" ht="60.75" customHeight="1">
      <c r="A692" s="31"/>
      <c r="C692" s="8"/>
    </row>
    <row r="693" spans="1:3" ht="60.75" customHeight="1">
      <c r="A693" s="31"/>
      <c r="C693" s="8"/>
    </row>
    <row r="694" spans="1:3" ht="60.75" customHeight="1">
      <c r="A694" s="31"/>
      <c r="C694" s="8"/>
    </row>
    <row r="695" spans="1:3" ht="60.75" customHeight="1">
      <c r="A695" s="31"/>
      <c r="C695" s="8"/>
    </row>
    <row r="696" spans="1:3" ht="60.75" customHeight="1">
      <c r="A696" s="31"/>
      <c r="C696" s="8"/>
    </row>
    <row r="697" spans="1:3" ht="60.75" customHeight="1">
      <c r="A697" s="31"/>
      <c r="C697" s="8"/>
    </row>
    <row r="698" spans="1:3" ht="60.75" customHeight="1">
      <c r="A698" s="31"/>
      <c r="C698" s="8"/>
    </row>
    <row r="699" spans="1:3" ht="60.75" customHeight="1">
      <c r="A699" s="31"/>
      <c r="C699" s="8"/>
    </row>
    <row r="700" spans="1:3" ht="60.75" customHeight="1">
      <c r="A700" s="31"/>
      <c r="C700" s="8"/>
    </row>
    <row r="701" spans="1:3" ht="60.75" customHeight="1">
      <c r="A701" s="31"/>
      <c r="C701" s="8"/>
    </row>
    <row r="702" spans="1:3" ht="60.75" customHeight="1">
      <c r="A702" s="31"/>
      <c r="C702" s="8"/>
    </row>
    <row r="703" spans="1:3" ht="60.75" customHeight="1">
      <c r="A703" s="31"/>
      <c r="C703" s="8"/>
    </row>
    <row r="704" spans="1:3" ht="60.75" customHeight="1">
      <c r="A704" s="31"/>
      <c r="C704" s="8"/>
    </row>
    <row r="705" spans="1:3" ht="60.75" customHeight="1">
      <c r="A705" s="31"/>
      <c r="C705" s="8"/>
    </row>
    <row r="706" spans="1:3" ht="60.75" customHeight="1">
      <c r="A706" s="31"/>
      <c r="C706" s="8"/>
    </row>
    <row r="707" spans="1:3" ht="60.75" customHeight="1">
      <c r="A707" s="31"/>
      <c r="C707" s="8"/>
    </row>
    <row r="708" spans="1:3" ht="60.75" customHeight="1">
      <c r="A708" s="31"/>
      <c r="C708" s="8"/>
    </row>
    <row r="709" spans="1:3" ht="60.75" customHeight="1">
      <c r="A709" s="31"/>
      <c r="C709" s="8"/>
    </row>
    <row r="710" spans="1:3" ht="60.75" customHeight="1">
      <c r="A710" s="31"/>
      <c r="C710" s="8"/>
    </row>
    <row r="711" spans="1:3" ht="60.75" customHeight="1">
      <c r="A711" s="31"/>
      <c r="C711" s="8"/>
    </row>
    <row r="712" spans="1:3" ht="60.75" customHeight="1">
      <c r="A712" s="31"/>
      <c r="C712" s="8"/>
    </row>
    <row r="713" spans="1:3" ht="60.75" customHeight="1">
      <c r="A713" s="31"/>
      <c r="C713" s="8"/>
    </row>
    <row r="714" spans="1:3" ht="60.75" customHeight="1">
      <c r="A714" s="31"/>
      <c r="C714" s="8"/>
    </row>
    <row r="715" spans="1:3" ht="60.75" customHeight="1">
      <c r="A715" s="31"/>
      <c r="C715" s="8"/>
    </row>
    <row r="716" spans="1:3" ht="60.75" customHeight="1">
      <c r="A716" s="31"/>
      <c r="C716" s="8"/>
    </row>
    <row r="717" spans="1:3" ht="60.75" customHeight="1">
      <c r="A717" s="31"/>
      <c r="C717" s="8"/>
    </row>
    <row r="718" spans="1:3" ht="60.75" customHeight="1">
      <c r="A718" s="31"/>
      <c r="C718" s="8"/>
    </row>
    <row r="719" spans="1:3" ht="60.75" customHeight="1">
      <c r="A719" s="31"/>
      <c r="C719" s="8"/>
    </row>
    <row r="720" spans="1:3" ht="60.75" customHeight="1">
      <c r="A720" s="31"/>
      <c r="C720" s="8"/>
    </row>
    <row r="721" spans="1:3" ht="60.75" customHeight="1">
      <c r="A721" s="31"/>
      <c r="C721" s="8"/>
    </row>
    <row r="722" spans="1:3" ht="60.75" customHeight="1">
      <c r="A722" s="31"/>
      <c r="C722" s="8"/>
    </row>
    <row r="723" spans="1:3" ht="60.75" customHeight="1">
      <c r="A723" s="31"/>
      <c r="C723" s="8"/>
    </row>
    <row r="724" spans="1:3" ht="60.75" customHeight="1">
      <c r="A724" s="31"/>
      <c r="C724" s="8"/>
    </row>
    <row r="725" spans="1:3" ht="60.75" customHeight="1">
      <c r="A725" s="31"/>
      <c r="C725" s="8"/>
    </row>
    <row r="726" spans="1:3" ht="60.75" customHeight="1">
      <c r="A726" s="31"/>
      <c r="C726" s="8"/>
    </row>
    <row r="727" spans="1:3" ht="60.75" customHeight="1">
      <c r="A727" s="31"/>
      <c r="C727" s="8"/>
    </row>
    <row r="728" spans="1:3" ht="60.75" customHeight="1">
      <c r="A728" s="31"/>
      <c r="C728" s="8"/>
    </row>
    <row r="729" spans="1:3" ht="60.75" customHeight="1">
      <c r="A729" s="31"/>
      <c r="C729" s="8"/>
    </row>
    <row r="730" spans="1:3" ht="60.75" customHeight="1">
      <c r="A730" s="31"/>
      <c r="C730" s="8"/>
    </row>
    <row r="731" spans="1:3" ht="60.75" customHeight="1">
      <c r="A731" s="31"/>
      <c r="C731" s="8"/>
    </row>
    <row r="732" spans="1:3" ht="60.75" customHeight="1">
      <c r="A732" s="31"/>
      <c r="C732" s="8"/>
    </row>
    <row r="733" spans="1:3" ht="60.75" customHeight="1">
      <c r="A733" s="31"/>
      <c r="C733" s="8"/>
    </row>
    <row r="734" spans="1:3" ht="60.75" customHeight="1">
      <c r="A734" s="31"/>
      <c r="C734" s="8"/>
    </row>
    <row r="735" spans="1:3" ht="60.75" customHeight="1">
      <c r="A735" s="31"/>
      <c r="C735" s="8"/>
    </row>
    <row r="736" spans="1:3" ht="60.75" customHeight="1">
      <c r="A736" s="31"/>
      <c r="C736" s="8"/>
    </row>
    <row r="737" spans="1:3" ht="60.75" customHeight="1">
      <c r="A737" s="31"/>
      <c r="C737" s="8"/>
    </row>
    <row r="738" spans="1:3" ht="60.75" customHeight="1">
      <c r="A738" s="31"/>
      <c r="C738" s="8"/>
    </row>
    <row r="739" spans="1:3" ht="60.75" customHeight="1">
      <c r="A739" s="31"/>
      <c r="C739" s="8"/>
    </row>
    <row r="740" spans="1:3" ht="60.75" customHeight="1">
      <c r="A740" s="31"/>
      <c r="C740" s="8"/>
    </row>
    <row r="741" spans="1:3" ht="60.75" customHeight="1">
      <c r="A741" s="31"/>
      <c r="C741" s="8"/>
    </row>
    <row r="742" spans="1:3" ht="60.75" customHeight="1">
      <c r="A742" s="31"/>
      <c r="C742" s="8"/>
    </row>
    <row r="743" spans="1:3" ht="60.75" customHeight="1">
      <c r="A743" s="31"/>
      <c r="C743" s="8"/>
    </row>
    <row r="744" spans="1:3" ht="60.75" customHeight="1">
      <c r="A744" s="31"/>
      <c r="C744" s="8"/>
    </row>
    <row r="745" spans="1:3" ht="60.75" customHeight="1">
      <c r="A745" s="31"/>
      <c r="C745" s="8"/>
    </row>
    <row r="746" spans="1:3" ht="60.75" customHeight="1">
      <c r="A746" s="31"/>
      <c r="C746" s="8"/>
    </row>
    <row r="747" spans="1:3" ht="60.75" customHeight="1">
      <c r="A747" s="31"/>
      <c r="C747" s="8"/>
    </row>
    <row r="748" spans="1:3" ht="60.75" customHeight="1">
      <c r="A748" s="31"/>
      <c r="C748" s="8"/>
    </row>
    <row r="749" spans="1:3" ht="60.75" customHeight="1">
      <c r="A749" s="31"/>
      <c r="C749" s="8"/>
    </row>
    <row r="750" spans="1:3" ht="60.75" customHeight="1">
      <c r="A750" s="31"/>
      <c r="C750" s="8"/>
    </row>
    <row r="751" spans="1:3" ht="60.75" customHeight="1">
      <c r="A751" s="31"/>
      <c r="C751" s="8"/>
    </row>
    <row r="752" spans="1:3" ht="60.75" customHeight="1">
      <c r="A752" s="31"/>
      <c r="C752" s="8"/>
    </row>
    <row r="753" spans="1:3" ht="60.75" customHeight="1">
      <c r="A753" s="31"/>
      <c r="C753" s="8"/>
    </row>
    <row r="754" spans="1:3" ht="60.75" customHeight="1">
      <c r="A754" s="31"/>
      <c r="C754" s="8"/>
    </row>
    <row r="755" spans="1:3" ht="60.75" customHeight="1">
      <c r="A755" s="31"/>
      <c r="C755" s="8"/>
    </row>
    <row r="756" spans="1:3" ht="60.75" customHeight="1">
      <c r="A756" s="31"/>
      <c r="C756" s="8"/>
    </row>
    <row r="757" spans="1:3" ht="60.75" customHeight="1">
      <c r="A757" s="31"/>
      <c r="C757" s="8"/>
    </row>
    <row r="758" spans="1:3" ht="60.75" customHeight="1">
      <c r="A758" s="31"/>
      <c r="C758" s="8"/>
    </row>
    <row r="759" spans="1:3" ht="60.75" customHeight="1">
      <c r="A759" s="31"/>
      <c r="C759" s="8"/>
    </row>
    <row r="760" spans="1:3" ht="60.75" customHeight="1">
      <c r="A760" s="31"/>
      <c r="C760" s="8"/>
    </row>
    <row r="761" spans="1:3" ht="60.75" customHeight="1">
      <c r="A761" s="31"/>
      <c r="C761" s="8"/>
    </row>
    <row r="762" spans="1:3" ht="60.75" customHeight="1">
      <c r="A762" s="31"/>
      <c r="C762" s="8"/>
    </row>
    <row r="763" spans="1:3" ht="60.75" customHeight="1">
      <c r="A763" s="31"/>
      <c r="C763" s="8"/>
    </row>
    <row r="764" spans="1:3" ht="60.75" customHeight="1">
      <c r="A764" s="31"/>
      <c r="C764" s="8"/>
    </row>
    <row r="765" spans="1:3" ht="60.75" customHeight="1">
      <c r="A765" s="31"/>
      <c r="C765" s="8"/>
    </row>
    <row r="766" spans="1:3" ht="60.75" customHeight="1">
      <c r="A766" s="31"/>
      <c r="C766" s="8"/>
    </row>
    <row r="767" spans="1:3" ht="60.75" customHeight="1">
      <c r="A767" s="31"/>
      <c r="C767" s="8"/>
    </row>
    <row r="768" spans="1:3" ht="60.75" customHeight="1">
      <c r="A768" s="31"/>
      <c r="C768" s="8"/>
    </row>
    <row r="769" spans="1:3" ht="60.75" customHeight="1">
      <c r="A769" s="31"/>
      <c r="C769" s="8"/>
    </row>
    <row r="770" spans="1:3" ht="60.75" customHeight="1">
      <c r="A770" s="31"/>
      <c r="C770" s="8"/>
    </row>
    <row r="771" spans="1:3" ht="60.75" customHeight="1">
      <c r="A771" s="31"/>
      <c r="C771" s="8"/>
    </row>
    <row r="772" spans="1:3" ht="60.75" customHeight="1">
      <c r="A772" s="31"/>
      <c r="C772" s="8"/>
    </row>
    <row r="773" spans="1:3" ht="60.75" customHeight="1">
      <c r="A773" s="31"/>
      <c r="C773" s="8"/>
    </row>
    <row r="774" spans="1:3" ht="60.75" customHeight="1">
      <c r="A774" s="31"/>
      <c r="C774" s="8"/>
    </row>
    <row r="775" spans="1:3" ht="60.75" customHeight="1">
      <c r="A775" s="31"/>
      <c r="C775" s="8"/>
    </row>
    <row r="776" spans="1:3" ht="60.75" customHeight="1">
      <c r="A776" s="31"/>
      <c r="C776" s="8"/>
    </row>
    <row r="777" spans="1:3" ht="60.75" customHeight="1">
      <c r="A777" s="31"/>
      <c r="C777" s="8"/>
    </row>
    <row r="778" spans="1:3" ht="60.75" customHeight="1">
      <c r="A778" s="31"/>
      <c r="C778" s="8"/>
    </row>
    <row r="779" spans="1:3" ht="60.75" customHeight="1">
      <c r="A779" s="31"/>
      <c r="C779" s="8"/>
    </row>
    <row r="780" spans="1:3" ht="60.75" customHeight="1">
      <c r="A780" s="31"/>
      <c r="C780" s="8"/>
    </row>
    <row r="781" spans="1:3" ht="60.75" customHeight="1">
      <c r="A781" s="31"/>
      <c r="C781" s="8"/>
    </row>
    <row r="782" spans="1:3" ht="60.75" customHeight="1">
      <c r="A782" s="31"/>
      <c r="C782" s="8"/>
    </row>
    <row r="783" spans="1:3" ht="60.75" customHeight="1">
      <c r="A783" s="31"/>
      <c r="C783" s="8"/>
    </row>
    <row r="784" spans="1:3" ht="60.75" customHeight="1">
      <c r="A784" s="31"/>
      <c r="C784" s="8"/>
    </row>
    <row r="785" spans="1:3" ht="60.75" customHeight="1">
      <c r="A785" s="31"/>
      <c r="C785" s="8"/>
    </row>
    <row r="786" spans="1:3" ht="60.75" customHeight="1">
      <c r="A786" s="31"/>
      <c r="C786" s="8"/>
    </row>
    <row r="787" spans="1:3" ht="60.75" customHeight="1">
      <c r="A787" s="31"/>
      <c r="C787" s="8"/>
    </row>
    <row r="788" spans="1:3" ht="60.75" customHeight="1">
      <c r="A788" s="31"/>
      <c r="C788" s="8"/>
    </row>
    <row r="789" spans="1:3" ht="60.75" customHeight="1">
      <c r="A789" s="31"/>
      <c r="C789" s="8"/>
    </row>
    <row r="790" spans="1:3" ht="60.75" customHeight="1">
      <c r="A790" s="31"/>
      <c r="C790" s="8"/>
    </row>
    <row r="791" spans="1:3" ht="60.75" customHeight="1">
      <c r="A791" s="31"/>
      <c r="C791" s="8"/>
    </row>
    <row r="792" spans="1:3" ht="60.75" customHeight="1">
      <c r="A792" s="31"/>
      <c r="C792" s="8"/>
    </row>
    <row r="793" spans="1:3" ht="60.75" customHeight="1">
      <c r="A793" s="31"/>
      <c r="C793" s="8"/>
    </row>
    <row r="794" spans="1:3" ht="60.75" customHeight="1">
      <c r="A794" s="31"/>
      <c r="C794" s="8"/>
    </row>
    <row r="795" spans="1:3" ht="60.75" customHeight="1">
      <c r="A795" s="31"/>
      <c r="C795" s="8"/>
    </row>
    <row r="796" spans="1:3" ht="60.75" customHeight="1">
      <c r="A796" s="31"/>
      <c r="C796" s="8"/>
    </row>
    <row r="797" spans="1:3" ht="60.75" customHeight="1">
      <c r="A797" s="31"/>
      <c r="C797" s="8"/>
    </row>
    <row r="798" spans="1:3" ht="60.75" customHeight="1">
      <c r="A798" s="31"/>
      <c r="C798" s="8"/>
    </row>
    <row r="799" spans="1:3" ht="60.75" customHeight="1">
      <c r="A799" s="31"/>
      <c r="C799" s="8"/>
    </row>
    <row r="800" spans="1:3" ht="60.75" customHeight="1">
      <c r="A800" s="31"/>
      <c r="C800" s="8"/>
    </row>
    <row r="801" spans="1:3" ht="60.75" customHeight="1">
      <c r="A801" s="31"/>
      <c r="C801" s="8"/>
    </row>
    <row r="802" spans="1:3" ht="60.75" customHeight="1">
      <c r="A802" s="31"/>
      <c r="C802" s="8"/>
    </row>
    <row r="803" spans="1:3" ht="60.75" customHeight="1">
      <c r="A803" s="31"/>
      <c r="C803" s="8"/>
    </row>
    <row r="804" spans="1:3" ht="60.75" customHeight="1">
      <c r="A804" s="31"/>
      <c r="C804" s="8"/>
    </row>
    <row r="805" spans="1:3" ht="60.75" customHeight="1">
      <c r="A805" s="31"/>
      <c r="C805" s="8"/>
    </row>
    <row r="806" spans="1:3" ht="60.75" customHeight="1">
      <c r="A806" s="31"/>
      <c r="C806" s="8"/>
    </row>
    <row r="807" spans="1:3" ht="60.75" customHeight="1">
      <c r="A807" s="31"/>
      <c r="C807" s="8"/>
    </row>
    <row r="808" spans="1:3" ht="60.75" customHeight="1">
      <c r="A808" s="31"/>
      <c r="C808" s="8"/>
    </row>
    <row r="809" spans="1:3" ht="60.75" customHeight="1">
      <c r="A809" s="31"/>
      <c r="C809" s="8"/>
    </row>
    <row r="810" spans="1:3" ht="60.75" customHeight="1">
      <c r="A810" s="31"/>
      <c r="C810" s="8"/>
    </row>
    <row r="811" spans="1:3" ht="60.75" customHeight="1">
      <c r="A811" s="31"/>
      <c r="C811" s="8"/>
    </row>
    <row r="812" spans="1:3" ht="60.75" customHeight="1">
      <c r="A812" s="31"/>
      <c r="C812" s="8"/>
    </row>
    <row r="813" spans="1:3" ht="60.75" customHeight="1">
      <c r="A813" s="31"/>
      <c r="C813" s="8"/>
    </row>
    <row r="814" spans="1:3" ht="60.75" customHeight="1">
      <c r="A814" s="31"/>
      <c r="C814" s="8"/>
    </row>
    <row r="815" spans="1:3" ht="60.75" customHeight="1">
      <c r="A815" s="31"/>
      <c r="C815" s="8"/>
    </row>
    <row r="816" spans="1:3" ht="60.75" customHeight="1">
      <c r="A816" s="31"/>
      <c r="C816" s="8"/>
    </row>
    <row r="817" spans="1:3" ht="60.75" customHeight="1">
      <c r="A817" s="31"/>
      <c r="C817" s="8"/>
    </row>
    <row r="818" spans="1:3" ht="60.75" customHeight="1">
      <c r="A818" s="31"/>
      <c r="C818" s="8"/>
    </row>
    <row r="819" spans="1:3" ht="60.75" customHeight="1">
      <c r="A819" s="31"/>
      <c r="C819" s="8"/>
    </row>
    <row r="820" spans="1:3" ht="60.75" customHeight="1">
      <c r="A820" s="31"/>
      <c r="C820" s="8"/>
    </row>
    <row r="821" spans="1:3" ht="60.75" customHeight="1">
      <c r="A821" s="31"/>
      <c r="C821" s="8"/>
    </row>
    <row r="822" spans="1:3" ht="60.75" customHeight="1">
      <c r="A822" s="31"/>
      <c r="C822" s="8"/>
    </row>
    <row r="823" spans="1:3" ht="60.75" customHeight="1">
      <c r="A823" s="31"/>
      <c r="C823" s="8"/>
    </row>
    <row r="824" spans="1:3" ht="60.75" customHeight="1">
      <c r="A824" s="31"/>
      <c r="C824" s="8"/>
    </row>
    <row r="825" spans="1:3" ht="60.75" customHeight="1">
      <c r="A825" s="31"/>
      <c r="C825" s="8"/>
    </row>
    <row r="826" spans="1:3" ht="60.75" customHeight="1">
      <c r="A826" s="31"/>
      <c r="C826" s="8"/>
    </row>
    <row r="827" spans="1:3" ht="60.75" customHeight="1">
      <c r="A827" s="31"/>
      <c r="C827" s="8"/>
    </row>
    <row r="828" spans="1:3" ht="60.75" customHeight="1">
      <c r="A828" s="31"/>
      <c r="C828" s="8"/>
    </row>
    <row r="829" spans="1:3" ht="60.75" customHeight="1">
      <c r="A829" s="31"/>
      <c r="C829" s="8"/>
    </row>
    <row r="830" spans="1:3" ht="60.75" customHeight="1">
      <c r="A830" s="31"/>
      <c r="C830" s="8"/>
    </row>
    <row r="831" spans="1:3" ht="60.75" customHeight="1">
      <c r="A831" s="31"/>
      <c r="C831" s="8"/>
    </row>
    <row r="832" spans="1:3" ht="60.75" customHeight="1">
      <c r="A832" s="31"/>
      <c r="C832" s="8"/>
    </row>
    <row r="833" spans="1:3" ht="60.75" customHeight="1">
      <c r="A833" s="31"/>
      <c r="C833" s="8"/>
    </row>
    <row r="834" spans="1:3" ht="60.75" customHeight="1">
      <c r="A834" s="31"/>
      <c r="C834" s="8"/>
    </row>
    <row r="835" spans="1:3" ht="60.75" customHeight="1">
      <c r="A835" s="31"/>
      <c r="C835" s="8"/>
    </row>
    <row r="836" spans="1:3" ht="60.75" customHeight="1">
      <c r="A836" s="31"/>
      <c r="C836" s="8"/>
    </row>
    <row r="837" spans="1:3" ht="60.75" customHeight="1">
      <c r="A837" s="31"/>
      <c r="C837" s="8"/>
    </row>
    <row r="838" spans="1:3" ht="60.75" customHeight="1">
      <c r="A838" s="31"/>
      <c r="C838" s="8"/>
    </row>
    <row r="839" spans="1:3" ht="60.75" customHeight="1">
      <c r="A839" s="31"/>
      <c r="C839" s="8"/>
    </row>
    <row r="840" spans="1:3" ht="60.75" customHeight="1">
      <c r="A840" s="31"/>
      <c r="C840" s="8"/>
    </row>
    <row r="841" spans="1:3" ht="60.75" customHeight="1">
      <c r="A841" s="31"/>
      <c r="C841" s="8"/>
    </row>
    <row r="842" spans="1:3" ht="60.75" customHeight="1">
      <c r="A842" s="31"/>
      <c r="C842" s="8"/>
    </row>
    <row r="843" spans="1:3" ht="60.75" customHeight="1">
      <c r="A843" s="31"/>
      <c r="C843" s="8"/>
    </row>
    <row r="844" spans="1:3" ht="60.75" customHeight="1">
      <c r="A844" s="31"/>
      <c r="C844" s="8"/>
    </row>
    <row r="845" spans="1:3" ht="60.75" customHeight="1">
      <c r="A845" s="31"/>
      <c r="C845" s="8"/>
    </row>
    <row r="846" spans="1:3" ht="60.75" customHeight="1">
      <c r="A846" s="31"/>
      <c r="C846" s="8"/>
    </row>
    <row r="847" spans="1:3" ht="60.75" customHeight="1">
      <c r="A847" s="31"/>
      <c r="C847" s="8"/>
    </row>
    <row r="848" spans="1:3" ht="60.75" customHeight="1">
      <c r="A848" s="31"/>
      <c r="C848" s="8"/>
    </row>
    <row r="849" spans="1:3" ht="60.75" customHeight="1">
      <c r="A849" s="31"/>
      <c r="C849" s="8"/>
    </row>
    <row r="850" spans="1:3" ht="60.75" customHeight="1">
      <c r="A850" s="31"/>
      <c r="C850" s="8"/>
    </row>
    <row r="851" spans="1:3" ht="60.75" customHeight="1">
      <c r="A851" s="31"/>
      <c r="C851" s="8"/>
    </row>
    <row r="852" spans="1:3" ht="60.75" customHeight="1">
      <c r="A852" s="31"/>
      <c r="C852" s="8"/>
    </row>
    <row r="853" spans="1:3" ht="60.75" customHeight="1">
      <c r="A853" s="31"/>
      <c r="C853" s="8"/>
    </row>
    <row r="854" spans="1:3" ht="60.75" customHeight="1">
      <c r="A854" s="31"/>
      <c r="C854" s="8"/>
    </row>
    <row r="855" spans="1:3" ht="60.75" customHeight="1">
      <c r="A855" s="31"/>
      <c r="C855" s="8"/>
    </row>
    <row r="856" spans="1:3" ht="60.75" customHeight="1">
      <c r="A856" s="31"/>
      <c r="C856" s="8"/>
    </row>
    <row r="857" spans="1:3" ht="60.75" customHeight="1">
      <c r="A857" s="31"/>
      <c r="C857" s="8"/>
    </row>
    <row r="858" spans="1:3" ht="60.75" customHeight="1">
      <c r="A858" s="31"/>
      <c r="C858" s="8"/>
    </row>
    <row r="859" spans="1:3" ht="60.75" customHeight="1">
      <c r="A859" s="31"/>
      <c r="C859" s="8"/>
    </row>
    <row r="860" spans="1:3" ht="60.75" customHeight="1">
      <c r="A860" s="31"/>
      <c r="C860" s="8"/>
    </row>
    <row r="861" spans="1:3" ht="60.75" customHeight="1">
      <c r="A861" s="31"/>
      <c r="C861" s="8"/>
    </row>
    <row r="862" spans="1:3" ht="60.75" customHeight="1">
      <c r="A862" s="31"/>
      <c r="C862" s="8"/>
    </row>
    <row r="863" spans="1:3" ht="60.75" customHeight="1">
      <c r="A863" s="31"/>
      <c r="C863" s="8"/>
    </row>
    <row r="864" spans="1:3" ht="60.75" customHeight="1">
      <c r="A864" s="31"/>
      <c r="C864" s="8"/>
    </row>
    <row r="865" spans="1:3" ht="60.75" customHeight="1">
      <c r="A865" s="31"/>
      <c r="C865" s="8"/>
    </row>
    <row r="866" spans="1:3" ht="60.75" customHeight="1">
      <c r="A866" s="31"/>
      <c r="C866" s="8"/>
    </row>
    <row r="867" spans="1:3" ht="60.75" customHeight="1">
      <c r="A867" s="31"/>
      <c r="C867" s="8"/>
    </row>
    <row r="868" spans="1:3" ht="60.75" customHeight="1">
      <c r="A868" s="31"/>
      <c r="C868" s="8"/>
    </row>
    <row r="869" spans="1:3" ht="60.75" customHeight="1">
      <c r="A869" s="31"/>
      <c r="C869" s="8"/>
    </row>
    <row r="870" spans="1:3" ht="60.75" customHeight="1">
      <c r="A870" s="31"/>
      <c r="C870" s="8"/>
    </row>
    <row r="871" spans="1:3" ht="60.75" customHeight="1">
      <c r="A871" s="31"/>
      <c r="C871" s="8"/>
    </row>
    <row r="872" spans="1:3" ht="60.75" customHeight="1">
      <c r="A872" s="31"/>
      <c r="C872" s="8"/>
    </row>
    <row r="873" spans="1:3" ht="60.75" customHeight="1">
      <c r="A873" s="31"/>
      <c r="C873" s="8"/>
    </row>
    <row r="874" spans="1:3" ht="60.75" customHeight="1">
      <c r="A874" s="31"/>
      <c r="C874" s="8"/>
    </row>
    <row r="875" spans="1:3" ht="60.75" customHeight="1">
      <c r="A875" s="31"/>
      <c r="C875" s="8"/>
    </row>
    <row r="876" spans="1:3" ht="60.75" customHeight="1">
      <c r="A876" s="31"/>
      <c r="C876" s="8"/>
    </row>
    <row r="877" spans="1:3" ht="60.75" customHeight="1">
      <c r="A877" s="31"/>
      <c r="C877" s="8"/>
    </row>
    <row r="878" spans="1:3" ht="60.75" customHeight="1">
      <c r="A878" s="31"/>
      <c r="C878" s="8"/>
    </row>
    <row r="879" spans="1:3" ht="60.75" customHeight="1">
      <c r="A879" s="31"/>
      <c r="C879" s="8"/>
    </row>
    <row r="880" spans="1:3" ht="60.75" customHeight="1">
      <c r="A880" s="31"/>
      <c r="C880" s="8"/>
    </row>
    <row r="881" spans="1:3" ht="60.75" customHeight="1">
      <c r="A881" s="31"/>
      <c r="C881" s="8"/>
    </row>
    <row r="882" spans="1:3" ht="60.75" customHeight="1">
      <c r="A882" s="31"/>
      <c r="C882" s="8"/>
    </row>
    <row r="883" spans="1:3" ht="60.75" customHeight="1">
      <c r="A883" s="31"/>
      <c r="C883" s="8"/>
    </row>
    <row r="884" spans="1:3" ht="60.75" customHeight="1">
      <c r="A884" s="31"/>
      <c r="C884" s="8"/>
    </row>
    <row r="885" spans="1:3" ht="60.75" customHeight="1">
      <c r="A885" s="31"/>
      <c r="C885" s="8"/>
    </row>
    <row r="886" spans="1:3" ht="60.75" customHeight="1">
      <c r="A886" s="31"/>
      <c r="C886" s="8"/>
    </row>
    <row r="887" spans="1:3" ht="60.75" customHeight="1">
      <c r="A887" s="31"/>
      <c r="C887" s="8"/>
    </row>
    <row r="888" spans="1:3" ht="60.75" customHeight="1">
      <c r="A888" s="31"/>
      <c r="C888" s="8"/>
    </row>
    <row r="889" spans="1:3" ht="60.75" customHeight="1">
      <c r="A889" s="31"/>
      <c r="C889" s="8"/>
    </row>
    <row r="890" spans="1:3" ht="60.75" customHeight="1">
      <c r="A890" s="31"/>
      <c r="C890" s="8"/>
    </row>
    <row r="891" spans="1:3" ht="60.75" customHeight="1">
      <c r="A891" s="31"/>
      <c r="C891" s="8"/>
    </row>
    <row r="892" spans="1:3" ht="60.75" customHeight="1">
      <c r="A892" s="31"/>
      <c r="C892" s="8"/>
    </row>
    <row r="893" spans="1:3" ht="60.75" customHeight="1">
      <c r="A893" s="31"/>
      <c r="C893" s="8"/>
    </row>
    <row r="894" spans="1:3" ht="60.75" customHeight="1">
      <c r="A894" s="31"/>
      <c r="C894" s="8"/>
    </row>
    <row r="895" spans="1:3" ht="60.75" customHeight="1">
      <c r="A895" s="31"/>
      <c r="C895" s="8"/>
    </row>
    <row r="896" spans="1:3" ht="60.75" customHeight="1">
      <c r="A896" s="31"/>
      <c r="C896" s="8"/>
    </row>
    <row r="897" spans="1:3" ht="60.75" customHeight="1">
      <c r="A897" s="31"/>
      <c r="C897" s="8"/>
    </row>
    <row r="898" spans="1:3" ht="60.75" customHeight="1">
      <c r="A898" s="31"/>
      <c r="C898" s="8"/>
    </row>
    <row r="899" spans="1:3" ht="60.75" customHeight="1">
      <c r="A899" s="31"/>
      <c r="C899" s="8"/>
    </row>
    <row r="900" spans="1:3" ht="60.75" customHeight="1">
      <c r="A900" s="31"/>
      <c r="C900" s="8"/>
    </row>
    <row r="901" spans="1:3" ht="60.75" customHeight="1">
      <c r="A901" s="31"/>
      <c r="C901" s="8"/>
    </row>
    <row r="902" spans="1:3" ht="60.75" customHeight="1">
      <c r="A902" s="31"/>
      <c r="C902" s="8"/>
    </row>
    <row r="903" spans="1:3" ht="60.75" customHeight="1">
      <c r="A903" s="31"/>
      <c r="C903" s="8"/>
    </row>
    <row r="904" spans="1:3" ht="60.75" customHeight="1">
      <c r="A904" s="31"/>
      <c r="C904" s="8"/>
    </row>
    <row r="905" spans="1:3" ht="60.75" customHeight="1">
      <c r="A905" s="31"/>
      <c r="C905" s="8"/>
    </row>
    <row r="906" spans="1:3" ht="60.75" customHeight="1">
      <c r="A906" s="31"/>
      <c r="C906" s="8"/>
    </row>
    <row r="907" spans="1:3" ht="60.75" customHeight="1">
      <c r="A907" s="31"/>
      <c r="C907" s="8"/>
    </row>
    <row r="908" spans="1:3" ht="60.75" customHeight="1">
      <c r="A908" s="31"/>
      <c r="C908" s="8"/>
    </row>
    <row r="909" spans="1:3" ht="60.75" customHeight="1">
      <c r="A909" s="31"/>
      <c r="C909" s="8"/>
    </row>
    <row r="910" spans="1:3" ht="60.75" customHeight="1">
      <c r="A910" s="31"/>
      <c r="C910" s="8"/>
    </row>
    <row r="911" spans="1:3" ht="60.75" customHeight="1">
      <c r="A911" s="31"/>
      <c r="C911" s="8"/>
    </row>
    <row r="912" spans="1:3" ht="60.75" customHeight="1">
      <c r="A912" s="31"/>
      <c r="C912" s="8"/>
    </row>
    <row r="913" spans="1:3" ht="60.75" customHeight="1">
      <c r="A913" s="31"/>
      <c r="C913" s="8"/>
    </row>
    <row r="914" spans="1:3" ht="60.75" customHeight="1">
      <c r="A914" s="31"/>
      <c r="C914" s="8"/>
    </row>
    <row r="915" spans="1:3" ht="60.75" customHeight="1">
      <c r="A915" s="31"/>
      <c r="C915" s="8"/>
    </row>
    <row r="916" spans="1:3" ht="60.75" customHeight="1">
      <c r="A916" s="31"/>
      <c r="C916" s="8"/>
    </row>
    <row r="917" spans="1:3" ht="60.75" customHeight="1">
      <c r="A917" s="31"/>
      <c r="C917" s="8"/>
    </row>
    <row r="918" spans="1:3" ht="60.75" customHeight="1">
      <c r="A918" s="31"/>
      <c r="C918" s="8"/>
    </row>
    <row r="919" spans="1:3" ht="60.75" customHeight="1">
      <c r="A919" s="31"/>
      <c r="C919" s="8"/>
    </row>
    <row r="920" spans="1:3" ht="60.75" customHeight="1">
      <c r="A920" s="31"/>
      <c r="C920" s="8"/>
    </row>
    <row r="921" spans="1:3" ht="60.75" customHeight="1">
      <c r="A921" s="31"/>
      <c r="C921" s="8"/>
    </row>
    <row r="922" spans="1:3" ht="60.75" customHeight="1">
      <c r="A922" s="31"/>
      <c r="C922" s="8"/>
    </row>
    <row r="923" spans="1:3" ht="60.75" customHeight="1">
      <c r="A923" s="31"/>
      <c r="C923" s="8"/>
    </row>
    <row r="924" spans="1:3" ht="60.75" customHeight="1">
      <c r="A924" s="31"/>
      <c r="C924" s="8"/>
    </row>
    <row r="925" spans="1:3" ht="60.75" customHeight="1">
      <c r="A925" s="31"/>
      <c r="C925" s="8"/>
    </row>
    <row r="926" spans="1:3" ht="60.75" customHeight="1">
      <c r="A926" s="31"/>
      <c r="C926" s="8"/>
    </row>
    <row r="927" spans="1:3" ht="60.75" customHeight="1">
      <c r="A927" s="31"/>
      <c r="C927" s="8"/>
    </row>
    <row r="928" spans="1:3" ht="60.75" customHeight="1">
      <c r="A928" s="31"/>
      <c r="C928" s="8"/>
    </row>
    <row r="929" spans="1:3" ht="60.75" customHeight="1">
      <c r="A929" s="31"/>
      <c r="C929" s="8"/>
    </row>
    <row r="930" spans="1:3" ht="60.75" customHeight="1">
      <c r="A930" s="31"/>
      <c r="C930" s="8"/>
    </row>
    <row r="931" spans="1:3" ht="60.75" customHeight="1">
      <c r="A931" s="31"/>
      <c r="C931" s="8"/>
    </row>
    <row r="932" spans="1:3" ht="60.75" customHeight="1">
      <c r="A932" s="31"/>
      <c r="C932" s="8"/>
    </row>
    <row r="933" spans="1:3" ht="60.75" customHeight="1">
      <c r="A933" s="31"/>
      <c r="C933" s="8"/>
    </row>
    <row r="934" spans="1:3" ht="60.75" customHeight="1">
      <c r="A934" s="31"/>
      <c r="C934" s="8"/>
    </row>
    <row r="935" spans="1:3" ht="60.75" customHeight="1">
      <c r="A935" s="31"/>
      <c r="C935" s="8"/>
    </row>
    <row r="936" spans="1:3" ht="60.75" customHeight="1">
      <c r="A936" s="31"/>
      <c r="C936" s="8"/>
    </row>
    <row r="937" spans="1:3" ht="60.75" customHeight="1">
      <c r="A937" s="31"/>
      <c r="C937" s="8"/>
    </row>
    <row r="938" spans="1:3" ht="60.75" customHeight="1">
      <c r="A938" s="31"/>
      <c r="C938" s="8"/>
    </row>
    <row r="939" spans="1:3" ht="60.75" customHeight="1">
      <c r="A939" s="31"/>
      <c r="C939" s="8"/>
    </row>
    <row r="940" spans="1:3" ht="60.75" customHeight="1">
      <c r="A940" s="31"/>
      <c r="C940" s="8"/>
    </row>
    <row r="941" spans="1:3" ht="60.75" customHeight="1">
      <c r="A941" s="31"/>
      <c r="C941" s="8"/>
    </row>
    <row r="942" spans="1:3" ht="60.75" customHeight="1">
      <c r="A942" s="31"/>
      <c r="C942" s="8"/>
    </row>
    <row r="943" spans="1:3" ht="60.75" customHeight="1">
      <c r="A943" s="31"/>
      <c r="C943" s="8"/>
    </row>
    <row r="944" spans="1:3" ht="60.75" customHeight="1">
      <c r="A944" s="31"/>
      <c r="C944" s="8"/>
    </row>
    <row r="945" spans="1:3" ht="60.75" customHeight="1">
      <c r="A945" s="31"/>
      <c r="C945" s="8"/>
    </row>
    <row r="946" spans="1:3" ht="60.75" customHeight="1">
      <c r="A946" s="31"/>
      <c r="C946" s="8"/>
    </row>
    <row r="947" spans="1:3" ht="60.75" customHeight="1">
      <c r="A947" s="31"/>
      <c r="C947" s="8"/>
    </row>
    <row r="948" spans="1:3" ht="60.75" customHeight="1">
      <c r="A948" s="31"/>
      <c r="C948" s="8"/>
    </row>
    <row r="949" spans="1:3" ht="60.75" customHeight="1">
      <c r="A949" s="31"/>
      <c r="C949" s="8"/>
    </row>
    <row r="950" spans="1:3" ht="60.75" customHeight="1">
      <c r="A950" s="31"/>
      <c r="C950" s="8"/>
    </row>
    <row r="951" spans="1:3" ht="60.75" customHeight="1">
      <c r="A951" s="31"/>
      <c r="C951" s="8"/>
    </row>
    <row r="952" spans="1:3" ht="60.75" customHeight="1">
      <c r="A952" s="31"/>
      <c r="C952" s="8"/>
    </row>
    <row r="953" spans="1:3" ht="60.75" customHeight="1">
      <c r="A953" s="31"/>
      <c r="C953" s="8"/>
    </row>
    <row r="954" spans="1:3" ht="60.75" customHeight="1">
      <c r="A954" s="31"/>
      <c r="C954" s="8"/>
    </row>
    <row r="955" spans="1:3" ht="60.75" customHeight="1">
      <c r="A955" s="31"/>
      <c r="C955" s="8"/>
    </row>
    <row r="956" spans="1:3" ht="60.75" customHeight="1">
      <c r="A956" s="31"/>
      <c r="C956" s="8"/>
    </row>
    <row r="957" spans="1:3" ht="60.75" customHeight="1">
      <c r="A957" s="31"/>
      <c r="C957" s="8"/>
    </row>
    <row r="958" spans="1:3" ht="60.75" customHeight="1">
      <c r="A958" s="31"/>
      <c r="C958" s="8"/>
    </row>
    <row r="959" spans="1:3" ht="60.75" customHeight="1">
      <c r="A959" s="31"/>
      <c r="C959" s="8"/>
    </row>
    <row r="960" spans="1:3" ht="60.75" customHeight="1">
      <c r="A960" s="31"/>
      <c r="C960" s="8"/>
    </row>
    <row r="961" spans="1:3" ht="60.75" customHeight="1">
      <c r="A961" s="31"/>
      <c r="C961" s="8"/>
    </row>
    <row r="962" spans="1:3" ht="60.75" customHeight="1">
      <c r="A962" s="31"/>
      <c r="C962" s="8"/>
    </row>
    <row r="963" spans="1:3" ht="60.75" customHeight="1">
      <c r="A963" s="31"/>
      <c r="C963" s="8"/>
    </row>
    <row r="964" spans="1:3" ht="60.75" customHeight="1">
      <c r="A964" s="31"/>
      <c r="C964" s="8"/>
    </row>
    <row r="965" spans="1:3" ht="60.75" customHeight="1">
      <c r="A965" s="31"/>
      <c r="C965" s="8"/>
    </row>
  </sheetData>
  <autoFilter ref="A1:D61" xr:uid="{6DEF0442-A30E-42B1-9221-72191C716675}">
    <sortState xmlns:xlrd2="http://schemas.microsoft.com/office/spreadsheetml/2017/richdata2" ref="A20:D40">
      <sortCondition ref="C1:C6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D0CC-49DA-4F6E-AD5D-E12938539986}">
  <sheetPr codeName="Sheet1"/>
  <dimension ref="B1:N73"/>
  <sheetViews>
    <sheetView showGridLines="0" workbookViewId="0">
      <selection activeCell="F48" sqref="F48:F57"/>
    </sheetView>
  </sheetViews>
  <sheetFormatPr defaultRowHeight="15"/>
  <cols>
    <col min="1" max="1" width="2.85546875" customWidth="1"/>
    <col min="2" max="2" width="32.7109375" customWidth="1"/>
    <col min="3" max="3" width="22.7109375" customWidth="1"/>
    <col min="4" max="4" width="24.7109375" customWidth="1"/>
    <col min="5" max="6" width="15" customWidth="1"/>
    <col min="7" max="7" width="15.7109375" customWidth="1"/>
    <col min="8" max="8" width="13.7109375" customWidth="1"/>
    <col min="9" max="9" width="12.140625" customWidth="1"/>
    <col min="10" max="10" width="10.5703125" customWidth="1"/>
  </cols>
  <sheetData>
    <row r="1" spans="2:10" ht="9" customHeight="1"/>
    <row r="2" spans="2:10" ht="15.75">
      <c r="B2" s="61" t="s">
        <v>129</v>
      </c>
    </row>
    <row r="4" spans="2:10">
      <c r="B4" s="45" t="s">
        <v>142</v>
      </c>
      <c r="C4" s="45" t="s">
        <v>146</v>
      </c>
      <c r="D4" s="35" t="s">
        <v>106</v>
      </c>
      <c r="E4" s="44" t="s">
        <v>138</v>
      </c>
      <c r="H4" s="44" t="s">
        <v>145</v>
      </c>
    </row>
    <row r="5" spans="2:10" ht="25.5">
      <c r="B5" t="s">
        <v>98</v>
      </c>
      <c r="C5" t="s">
        <v>98</v>
      </c>
      <c r="D5" s="94" t="s">
        <v>82</v>
      </c>
      <c r="E5" s="39" t="s">
        <v>144</v>
      </c>
      <c r="F5" s="40" t="s">
        <v>99</v>
      </c>
      <c r="G5" s="40"/>
      <c r="H5" s="98">
        <v>0.6</v>
      </c>
      <c r="I5" s="99">
        <v>0.4</v>
      </c>
      <c r="J5" s="41"/>
    </row>
    <row r="6" spans="2:10" ht="28.5" customHeight="1">
      <c r="B6" t="s">
        <v>143</v>
      </c>
      <c r="D6" s="94" t="s">
        <v>74</v>
      </c>
      <c r="E6" s="39" t="s">
        <v>98</v>
      </c>
      <c r="F6" s="40" t="s">
        <v>140</v>
      </c>
      <c r="G6" s="41"/>
      <c r="H6" s="102">
        <v>0.2</v>
      </c>
      <c r="I6" s="103">
        <v>0.8</v>
      </c>
      <c r="J6" s="104"/>
    </row>
    <row r="7" spans="2:10">
      <c r="B7" t="s">
        <v>140</v>
      </c>
      <c r="D7" s="94" t="s">
        <v>85</v>
      </c>
      <c r="E7" s="39" t="s">
        <v>141</v>
      </c>
      <c r="F7" s="40"/>
      <c r="G7" s="41"/>
      <c r="H7" s="98">
        <v>1</v>
      </c>
      <c r="I7" s="40"/>
      <c r="J7" s="41"/>
    </row>
    <row r="8" spans="2:10">
      <c r="B8" t="s">
        <v>100</v>
      </c>
      <c r="D8" s="94" t="s">
        <v>87</v>
      </c>
      <c r="E8" s="39" t="s">
        <v>109</v>
      </c>
      <c r="F8" s="40" t="s">
        <v>98</v>
      </c>
      <c r="G8" s="41"/>
      <c r="H8" s="98">
        <v>0.8</v>
      </c>
      <c r="I8" s="40"/>
      <c r="J8" s="41"/>
    </row>
    <row r="9" spans="2:10">
      <c r="B9" t="s">
        <v>103</v>
      </c>
      <c r="D9" s="94" t="s">
        <v>72</v>
      </c>
      <c r="E9" s="39" t="s">
        <v>140</v>
      </c>
      <c r="F9" s="40"/>
      <c r="G9" s="41"/>
      <c r="H9" s="98">
        <v>1</v>
      </c>
      <c r="I9" s="40"/>
      <c r="J9" s="41"/>
    </row>
    <row r="10" spans="2:10">
      <c r="B10" t="s">
        <v>144</v>
      </c>
      <c r="D10" s="94" t="s">
        <v>77</v>
      </c>
      <c r="E10" s="39" t="s">
        <v>110</v>
      </c>
      <c r="F10" s="40"/>
      <c r="G10" s="41"/>
      <c r="H10" s="39" t="s">
        <v>110</v>
      </c>
      <c r="I10" s="40"/>
      <c r="J10" s="41"/>
    </row>
    <row r="11" spans="2:10">
      <c r="D11" s="94" t="s">
        <v>37</v>
      </c>
      <c r="E11" s="39" t="s">
        <v>111</v>
      </c>
      <c r="F11" s="40"/>
      <c r="G11" s="41"/>
      <c r="H11" s="39" t="s">
        <v>111</v>
      </c>
      <c r="I11" s="40"/>
      <c r="J11" s="41"/>
    </row>
    <row r="12" spans="2:10">
      <c r="D12" s="94" t="s">
        <v>75</v>
      </c>
      <c r="E12" s="39" t="s">
        <v>108</v>
      </c>
      <c r="F12" s="40"/>
      <c r="G12" s="41"/>
      <c r="H12" s="39" t="s">
        <v>108</v>
      </c>
      <c r="I12" s="40"/>
      <c r="J12" s="41"/>
    </row>
    <row r="13" spans="2:10">
      <c r="D13" s="44"/>
    </row>
    <row r="14" spans="2:10">
      <c r="D14" s="35" t="s">
        <v>96</v>
      </c>
      <c r="E14" s="38" t="s">
        <v>97</v>
      </c>
      <c r="F14" s="36"/>
      <c r="G14" s="36"/>
      <c r="H14" s="38" t="s">
        <v>97</v>
      </c>
      <c r="I14" s="36"/>
      <c r="J14" s="36"/>
    </row>
    <row r="15" spans="2:10" ht="27" customHeight="1">
      <c r="D15" s="95" t="s">
        <v>33</v>
      </c>
      <c r="E15" s="39" t="s">
        <v>98</v>
      </c>
      <c r="F15" s="40" t="s">
        <v>99</v>
      </c>
      <c r="G15" s="74" t="s">
        <v>100</v>
      </c>
      <c r="H15" s="98">
        <v>0.6</v>
      </c>
      <c r="I15" s="99">
        <v>0.2</v>
      </c>
      <c r="J15" s="100">
        <v>0.2</v>
      </c>
    </row>
    <row r="16" spans="2:10">
      <c r="D16" s="95" t="s">
        <v>7</v>
      </c>
      <c r="E16" s="39"/>
      <c r="F16" s="40"/>
      <c r="G16" s="41"/>
      <c r="H16" s="39"/>
      <c r="I16" s="40"/>
      <c r="J16" s="41"/>
    </row>
    <row r="17" spans="2:13" ht="39">
      <c r="D17" s="96" t="s">
        <v>12</v>
      </c>
      <c r="E17" s="42" t="s">
        <v>101</v>
      </c>
      <c r="F17" s="40"/>
      <c r="G17" s="41"/>
      <c r="H17" s="42" t="s">
        <v>101</v>
      </c>
      <c r="I17" s="40"/>
      <c r="J17" s="41"/>
    </row>
    <row r="18" spans="2:13">
      <c r="D18" s="95" t="s">
        <v>19</v>
      </c>
      <c r="E18" s="39" t="s">
        <v>140</v>
      </c>
      <c r="F18" s="40"/>
      <c r="G18" s="41"/>
      <c r="H18" s="98">
        <v>1</v>
      </c>
      <c r="I18" s="40"/>
      <c r="J18" s="41"/>
    </row>
    <row r="19" spans="2:13">
      <c r="D19" s="97" t="s">
        <v>29</v>
      </c>
      <c r="E19" s="39" t="s">
        <v>103</v>
      </c>
      <c r="F19" s="40" t="s">
        <v>140</v>
      </c>
      <c r="G19" s="41"/>
      <c r="H19" s="98">
        <v>0.3</v>
      </c>
      <c r="I19" s="99">
        <v>0.7</v>
      </c>
      <c r="J19" s="41"/>
    </row>
    <row r="20" spans="2:13">
      <c r="D20" s="44"/>
      <c r="F20" s="37"/>
      <c r="G20" s="37"/>
      <c r="I20" s="37"/>
      <c r="J20" s="37"/>
    </row>
    <row r="21" spans="2:13">
      <c r="D21" s="35" t="s">
        <v>104</v>
      </c>
      <c r="E21" s="36"/>
      <c r="F21" s="36"/>
      <c r="G21" s="36"/>
      <c r="H21" s="36"/>
      <c r="I21" s="36"/>
      <c r="J21" s="36"/>
    </row>
    <row r="22" spans="2:13">
      <c r="D22" s="75" t="s">
        <v>67</v>
      </c>
      <c r="E22" s="40" t="s">
        <v>98</v>
      </c>
      <c r="F22" s="41" t="s">
        <v>141</v>
      </c>
      <c r="G22" s="36"/>
      <c r="H22" s="98">
        <v>0.5</v>
      </c>
      <c r="I22" s="101">
        <v>0.5</v>
      </c>
      <c r="J22" s="36"/>
    </row>
    <row r="23" spans="2:13">
      <c r="D23" s="75" t="s">
        <v>69</v>
      </c>
      <c r="E23" s="40" t="s">
        <v>140</v>
      </c>
      <c r="F23" s="43"/>
      <c r="G23" s="36"/>
      <c r="H23" s="98">
        <v>1</v>
      </c>
      <c r="I23" s="43"/>
      <c r="J23" s="36"/>
    </row>
    <row r="24" spans="2:13">
      <c r="B24" s="50"/>
      <c r="C24" s="46"/>
      <c r="D24" s="62"/>
      <c r="E24" s="36"/>
      <c r="F24" s="46"/>
      <c r="G24" s="46"/>
      <c r="H24" s="36"/>
      <c r="I24" s="36"/>
    </row>
    <row r="25" spans="2:13" ht="16.5" thickBot="1">
      <c r="B25" s="51" t="s">
        <v>125</v>
      </c>
      <c r="D25" s="36"/>
      <c r="E25" s="36"/>
      <c r="F25" s="36"/>
      <c r="G25" s="36"/>
      <c r="H25" s="36"/>
    </row>
    <row r="26" spans="2:13">
      <c r="B26" s="52"/>
      <c r="C26" s="53" t="s">
        <v>112</v>
      </c>
      <c r="D26" s="53" t="s">
        <v>113</v>
      </c>
      <c r="E26" s="53" t="s">
        <v>114</v>
      </c>
      <c r="F26" s="53" t="s">
        <v>115</v>
      </c>
      <c r="G26" s="53" t="s">
        <v>116</v>
      </c>
      <c r="H26" s="53" t="s">
        <v>117</v>
      </c>
      <c r="I26" s="53" t="s">
        <v>118</v>
      </c>
      <c r="J26" s="53" t="s">
        <v>119</v>
      </c>
      <c r="K26" s="53" t="s">
        <v>120</v>
      </c>
      <c r="L26" s="53" t="s">
        <v>121</v>
      </c>
      <c r="M26" s="53" t="s">
        <v>122</v>
      </c>
    </row>
    <row r="27" spans="2:13">
      <c r="B27" s="54" t="s">
        <v>123</v>
      </c>
      <c r="C27" s="55">
        <v>0</v>
      </c>
      <c r="D27" s="55">
        <v>0</v>
      </c>
      <c r="E27" s="55">
        <v>21226</v>
      </c>
      <c r="F27" s="55">
        <v>34423.200000000004</v>
      </c>
      <c r="G27" s="55">
        <v>28078.920000000002</v>
      </c>
      <c r="H27" s="55">
        <v>28336.000000000004</v>
      </c>
      <c r="I27" s="55">
        <v>26678.300000000003</v>
      </c>
      <c r="J27" s="55">
        <v>27845.4</v>
      </c>
      <c r="K27" s="55">
        <v>26598.000000000004</v>
      </c>
      <c r="L27" s="55">
        <v>31979.200000000004</v>
      </c>
      <c r="M27" s="55">
        <v>30413.9</v>
      </c>
    </row>
    <row r="28" spans="2:13">
      <c r="B28" s="54" t="s">
        <v>4</v>
      </c>
      <c r="C28" s="55">
        <v>80000</v>
      </c>
      <c r="D28" s="55">
        <v>80000</v>
      </c>
      <c r="E28" s="55">
        <v>83151</v>
      </c>
      <c r="F28" s="55">
        <v>88465.650000000009</v>
      </c>
      <c r="G28" s="55">
        <v>92484.72</v>
      </c>
      <c r="H28" s="55">
        <v>88050.6</v>
      </c>
      <c r="I28" s="55">
        <v>74995.8</v>
      </c>
      <c r="J28" s="55">
        <v>79126.3</v>
      </c>
      <c r="K28" s="55">
        <v>81954.400000000009</v>
      </c>
      <c r="L28" s="55">
        <v>85828.6</v>
      </c>
      <c r="M28" s="55">
        <v>72571.400000000009</v>
      </c>
    </row>
    <row r="29" spans="2:13">
      <c r="B29" s="54" t="s">
        <v>17</v>
      </c>
      <c r="C29" s="55">
        <v>50000</v>
      </c>
      <c r="D29" s="55">
        <v>64925</v>
      </c>
      <c r="E29" s="55">
        <v>59544</v>
      </c>
      <c r="F29" s="55">
        <v>70000</v>
      </c>
      <c r="G29" s="55">
        <v>83953.8</v>
      </c>
      <c r="H29" s="55">
        <v>76612.800000000003</v>
      </c>
      <c r="I29" s="55">
        <v>69144.900000000009</v>
      </c>
      <c r="J29" s="55">
        <v>85841.8</v>
      </c>
      <c r="K29" s="55">
        <v>89887.6</v>
      </c>
      <c r="L29" s="55">
        <v>87318</v>
      </c>
      <c r="M29" s="55">
        <v>65158.500000000007</v>
      </c>
    </row>
    <row r="30" spans="2:13">
      <c r="B30" s="54" t="s">
        <v>23</v>
      </c>
      <c r="C30" s="55">
        <v>0</v>
      </c>
      <c r="D30" s="55">
        <v>0</v>
      </c>
      <c r="E30" s="55">
        <v>0</v>
      </c>
      <c r="F30" s="55">
        <v>0</v>
      </c>
      <c r="G30" s="55">
        <v>0</v>
      </c>
      <c r="H30" s="55">
        <v>0</v>
      </c>
      <c r="I30" s="55">
        <v>0</v>
      </c>
      <c r="J30" s="55">
        <v>0</v>
      </c>
      <c r="K30" s="55">
        <v>0</v>
      </c>
      <c r="L30" s="55">
        <v>0</v>
      </c>
      <c r="M30" s="55">
        <v>0</v>
      </c>
    </row>
    <row r="31" spans="2:13">
      <c r="B31" s="54" t="s">
        <v>25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55">
        <v>0</v>
      </c>
      <c r="J31" s="55">
        <v>0</v>
      </c>
      <c r="K31" s="55">
        <v>0</v>
      </c>
      <c r="L31" s="55">
        <v>0</v>
      </c>
      <c r="M31" s="55">
        <v>0</v>
      </c>
    </row>
    <row r="32" spans="2:13">
      <c r="B32" s="56" t="s">
        <v>27</v>
      </c>
      <c r="C32" s="55">
        <v>12280</v>
      </c>
      <c r="D32" s="55">
        <v>28145</v>
      </c>
      <c r="E32" s="55">
        <v>24504</v>
      </c>
      <c r="F32" s="55">
        <v>29087.100000000002</v>
      </c>
      <c r="G32" s="55">
        <v>20962.800000000003</v>
      </c>
      <c r="H32" s="55">
        <v>32271.800000000003</v>
      </c>
      <c r="I32" s="57">
        <v>29164.300000000003</v>
      </c>
      <c r="J32" s="57">
        <v>30022.300000000003</v>
      </c>
      <c r="K32" s="57">
        <v>29860.600000000002</v>
      </c>
      <c r="L32" s="57">
        <v>39840.9</v>
      </c>
      <c r="M32" s="57">
        <v>30787.9</v>
      </c>
    </row>
    <row r="33" spans="2:14">
      <c r="B33" s="54" t="s">
        <v>34</v>
      </c>
      <c r="C33" s="55">
        <v>11510</v>
      </c>
      <c r="D33" s="55">
        <v>25672</v>
      </c>
      <c r="E33" s="55">
        <v>29841</v>
      </c>
      <c r="F33" s="55">
        <v>25751.25</v>
      </c>
      <c r="G33" s="55">
        <v>7514.64</v>
      </c>
      <c r="H33" s="55">
        <v>39952</v>
      </c>
      <c r="I33" s="55">
        <v>41022.300000000003</v>
      </c>
      <c r="J33" s="55">
        <v>41063</v>
      </c>
      <c r="K33" s="55">
        <v>40500.9</v>
      </c>
      <c r="L33" s="55">
        <v>49137.000000000007</v>
      </c>
      <c r="M33" s="55">
        <v>40828.700000000004</v>
      </c>
    </row>
    <row r="34" spans="2:14">
      <c r="B34" s="54" t="s">
        <v>40</v>
      </c>
      <c r="C34" s="55">
        <v>33800</v>
      </c>
      <c r="D34" s="55">
        <v>47700</v>
      </c>
      <c r="E34" s="55">
        <v>20058</v>
      </c>
      <c r="F34" s="55">
        <v>20000</v>
      </c>
      <c r="G34" s="55">
        <v>30301.56</v>
      </c>
      <c r="H34" s="55">
        <v>54376.3</v>
      </c>
      <c r="I34" s="55">
        <v>41941.9</v>
      </c>
      <c r="J34" s="55">
        <v>48604.600000000006</v>
      </c>
      <c r="K34" s="55">
        <v>53854.9</v>
      </c>
      <c r="L34" s="55">
        <v>50828.800000000003</v>
      </c>
      <c r="M34" s="55">
        <v>34051.600000000006</v>
      </c>
    </row>
    <row r="35" spans="2:14">
      <c r="B35" s="54" t="s">
        <v>46</v>
      </c>
      <c r="C35" s="55">
        <v>21010</v>
      </c>
      <c r="D35" s="55">
        <v>43990</v>
      </c>
      <c r="E35" s="55">
        <v>50000</v>
      </c>
      <c r="F35" s="55">
        <v>60000</v>
      </c>
      <c r="G35" s="55">
        <v>80712.72</v>
      </c>
      <c r="H35" s="55">
        <v>50983.9</v>
      </c>
      <c r="I35" s="55">
        <v>73168.700000000012</v>
      </c>
      <c r="J35" s="55">
        <v>79894.100000000006</v>
      </c>
      <c r="K35" s="55">
        <v>79037.200000000012</v>
      </c>
      <c r="L35" s="55">
        <v>84126.900000000009</v>
      </c>
      <c r="M35" s="55">
        <v>63726.3</v>
      </c>
    </row>
    <row r="36" spans="2:14" ht="15.75" thickBot="1">
      <c r="B36" s="54" t="s">
        <v>53</v>
      </c>
      <c r="C36" s="55">
        <v>67200</v>
      </c>
      <c r="D36" s="55">
        <v>50000</v>
      </c>
      <c r="E36" s="55">
        <v>36745</v>
      </c>
      <c r="F36" s="55">
        <v>34192.200000000004</v>
      </c>
      <c r="G36" s="55">
        <v>26826.120000000003</v>
      </c>
      <c r="H36" s="55">
        <v>33750.200000000004</v>
      </c>
      <c r="I36" s="55">
        <v>34104.400000000001</v>
      </c>
      <c r="J36" s="55">
        <v>32932.9</v>
      </c>
      <c r="K36" s="55">
        <v>36899.5</v>
      </c>
      <c r="L36" s="55">
        <v>45015.3</v>
      </c>
      <c r="M36" s="55">
        <v>36678.400000000001</v>
      </c>
    </row>
    <row r="37" spans="2:14" ht="15.75" thickBot="1">
      <c r="B37" s="58" t="s">
        <v>124</v>
      </c>
      <c r="C37" s="59">
        <v>275800</v>
      </c>
      <c r="D37" s="59">
        <v>340432</v>
      </c>
      <c r="E37" s="59">
        <v>325069</v>
      </c>
      <c r="F37" s="59">
        <v>361919.4</v>
      </c>
      <c r="G37" s="59">
        <v>370835.28</v>
      </c>
      <c r="H37" s="59">
        <v>404333.60000000003</v>
      </c>
      <c r="I37" s="59">
        <v>390220.60000000003</v>
      </c>
      <c r="J37" s="59">
        <v>425330.40000000008</v>
      </c>
      <c r="K37" s="59">
        <v>438593.10000000003</v>
      </c>
      <c r="L37" s="59">
        <v>474074.70000000007</v>
      </c>
      <c r="M37" s="59">
        <v>374216.7</v>
      </c>
    </row>
    <row r="39" spans="2:14" ht="16.5" thickBot="1">
      <c r="B39" s="51" t="s">
        <v>126</v>
      </c>
      <c r="D39" s="36"/>
      <c r="E39" s="36"/>
      <c r="F39" s="36"/>
      <c r="G39" s="36"/>
      <c r="H39" s="36"/>
    </row>
    <row r="40" spans="2:14">
      <c r="B40" s="52"/>
      <c r="C40" s="53" t="s">
        <v>112</v>
      </c>
      <c r="D40" s="53" t="s">
        <v>113</v>
      </c>
      <c r="E40" s="53" t="s">
        <v>114</v>
      </c>
      <c r="F40" s="53" t="s">
        <v>115</v>
      </c>
      <c r="G40" s="53" t="s">
        <v>116</v>
      </c>
      <c r="H40" s="53" t="s">
        <v>117</v>
      </c>
      <c r="I40" s="53" t="s">
        <v>118</v>
      </c>
      <c r="J40" s="53" t="s">
        <v>119</v>
      </c>
      <c r="K40" s="53" t="s">
        <v>120</v>
      </c>
      <c r="L40" s="53" t="s">
        <v>121</v>
      </c>
      <c r="M40" s="53" t="s">
        <v>122</v>
      </c>
    </row>
    <row r="41" spans="2:14">
      <c r="B41" s="54" t="s">
        <v>70</v>
      </c>
      <c r="C41" s="55">
        <v>126</v>
      </c>
      <c r="D41" s="55">
        <v>68</v>
      </c>
      <c r="E41" s="55">
        <f>E44/2</f>
        <v>100</v>
      </c>
      <c r="F41" s="55">
        <f t="shared" ref="F41:G41" si="0">F44/2</f>
        <v>110.00000000000001</v>
      </c>
      <c r="G41" s="55">
        <f t="shared" si="0"/>
        <v>121.00000000000003</v>
      </c>
      <c r="H41" s="55">
        <f>H44*(4/10)</f>
        <v>111.32000000000004</v>
      </c>
      <c r="I41" s="55">
        <f t="shared" ref="I41:J41" si="1">I44*(4/10)</f>
        <v>133.58400000000003</v>
      </c>
      <c r="J41" s="55">
        <f t="shared" si="1"/>
        <v>166.98000000000005</v>
      </c>
      <c r="K41" s="55">
        <f>K$44/3</f>
        <v>160.02250000000001</v>
      </c>
      <c r="L41" s="55">
        <f t="shared" ref="L41:M41" si="2">L$44/3</f>
        <v>168.02362500000001</v>
      </c>
      <c r="M41" s="55">
        <f t="shared" si="2"/>
        <v>201.62835000000004</v>
      </c>
    </row>
    <row r="42" spans="2:14">
      <c r="B42" s="54" t="s">
        <v>127</v>
      </c>
      <c r="C42" s="55">
        <v>77</v>
      </c>
      <c r="D42" s="55">
        <v>24</v>
      </c>
      <c r="E42" s="55">
        <f>E44/4</f>
        <v>50</v>
      </c>
      <c r="F42" s="55">
        <f t="shared" ref="F42:G42" si="3">F44/4</f>
        <v>55.000000000000007</v>
      </c>
      <c r="G42" s="55">
        <f t="shared" si="3"/>
        <v>60.500000000000014</v>
      </c>
      <c r="H42" s="55">
        <f>H44*(3/10)</f>
        <v>83.490000000000023</v>
      </c>
      <c r="I42" s="55">
        <f t="shared" ref="I42:J42" si="4">I44*(3/10)</f>
        <v>100.18800000000003</v>
      </c>
      <c r="J42" s="55">
        <f t="shared" si="4"/>
        <v>125.23500000000003</v>
      </c>
      <c r="K42" s="55">
        <f t="shared" ref="K42:M43" si="5">K$44/3</f>
        <v>160.02250000000001</v>
      </c>
      <c r="L42" s="55">
        <f t="shared" si="5"/>
        <v>168.02362500000001</v>
      </c>
      <c r="M42" s="55">
        <f t="shared" si="5"/>
        <v>201.62835000000004</v>
      </c>
    </row>
    <row r="43" spans="2:14">
      <c r="B43" s="54" t="s">
        <v>128</v>
      </c>
      <c r="C43" s="55">
        <v>24</v>
      </c>
      <c r="D43" s="55">
        <v>27</v>
      </c>
      <c r="E43" s="55">
        <f>E44/4</f>
        <v>50</v>
      </c>
      <c r="F43" s="55">
        <f t="shared" ref="F43:G43" si="6">F44/4</f>
        <v>55.000000000000007</v>
      </c>
      <c r="G43" s="55">
        <f t="shared" si="6"/>
        <v>60.500000000000014</v>
      </c>
      <c r="H43" s="55">
        <f>H44*(3/10)</f>
        <v>83.490000000000023</v>
      </c>
      <c r="I43" s="55">
        <f t="shared" ref="I43:J43" si="7">I44*(3/10)</f>
        <v>100.18800000000003</v>
      </c>
      <c r="J43" s="55">
        <f t="shared" si="7"/>
        <v>125.23500000000003</v>
      </c>
      <c r="K43" s="55">
        <f t="shared" si="5"/>
        <v>160.02250000000001</v>
      </c>
      <c r="L43" s="55">
        <f t="shared" si="5"/>
        <v>168.02362500000001</v>
      </c>
      <c r="M43" s="55">
        <f t="shared" si="5"/>
        <v>201.62835000000004</v>
      </c>
    </row>
    <row r="44" spans="2:14">
      <c r="B44" s="60" t="s">
        <v>92</v>
      </c>
      <c r="C44">
        <v>227</v>
      </c>
      <c r="D44">
        <v>119</v>
      </c>
      <c r="E44">
        <v>200</v>
      </c>
      <c r="F44">
        <v>220.00000000000003</v>
      </c>
      <c r="G44">
        <v>242.00000000000006</v>
      </c>
      <c r="H44">
        <v>278.30000000000007</v>
      </c>
      <c r="I44">
        <v>333.96000000000009</v>
      </c>
      <c r="J44">
        <v>417.4500000000001</v>
      </c>
      <c r="K44">
        <v>480.06750000000005</v>
      </c>
      <c r="L44">
        <v>504.07087500000006</v>
      </c>
      <c r="M44">
        <v>604.88505000000009</v>
      </c>
    </row>
    <row r="46" spans="2:14" ht="16.5" thickBot="1">
      <c r="B46" s="92" t="s">
        <v>134</v>
      </c>
      <c r="C46" s="76"/>
      <c r="D46" s="76"/>
      <c r="E46" s="76"/>
      <c r="F46" s="76"/>
      <c r="G46" s="76"/>
      <c r="H46" s="66"/>
      <c r="I46" s="66"/>
      <c r="J46" s="66"/>
      <c r="K46" s="66"/>
      <c r="L46" s="66"/>
      <c r="M46" s="66"/>
      <c r="N46" s="67"/>
    </row>
    <row r="47" spans="2:14" ht="20.25" customHeight="1">
      <c r="B47" s="77"/>
      <c r="C47" s="78" t="s">
        <v>112</v>
      </c>
      <c r="D47" s="78" t="s">
        <v>113</v>
      </c>
      <c r="E47" s="78" t="s">
        <v>114</v>
      </c>
      <c r="F47" s="78" t="s">
        <v>115</v>
      </c>
      <c r="G47" s="78" t="s">
        <v>116</v>
      </c>
      <c r="H47" s="68" t="s">
        <v>117</v>
      </c>
      <c r="I47" s="68" t="s">
        <v>118</v>
      </c>
      <c r="J47" s="68" t="s">
        <v>119</v>
      </c>
      <c r="K47" s="68" t="s">
        <v>120</v>
      </c>
      <c r="L47" s="68" t="s">
        <v>121</v>
      </c>
      <c r="M47" s="68" t="s">
        <v>122</v>
      </c>
      <c r="N47" s="69" t="s">
        <v>135</v>
      </c>
    </row>
    <row r="48" spans="2:14" ht="15.75">
      <c r="B48" s="79" t="s">
        <v>123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47"/>
      <c r="I48" s="47"/>
      <c r="J48" s="47"/>
      <c r="K48" s="47"/>
      <c r="L48" s="47"/>
      <c r="M48" s="47"/>
      <c r="N48" s="70">
        <v>114510</v>
      </c>
    </row>
    <row r="49" spans="2:14" ht="15.75">
      <c r="B49" s="79" t="s">
        <v>4</v>
      </c>
      <c r="C49" s="55">
        <v>15972</v>
      </c>
      <c r="D49" s="55">
        <v>15972</v>
      </c>
      <c r="E49" s="55">
        <v>19965</v>
      </c>
      <c r="F49" s="55">
        <v>19965</v>
      </c>
      <c r="G49" s="55">
        <v>15972</v>
      </c>
      <c r="H49" s="47"/>
      <c r="I49" s="47"/>
      <c r="J49" s="47"/>
      <c r="K49" s="47"/>
      <c r="L49" s="47"/>
      <c r="M49" s="47"/>
      <c r="N49" s="70">
        <v>166250</v>
      </c>
    </row>
    <row r="50" spans="2:14" ht="15.75">
      <c r="B50" s="79" t="s">
        <v>17</v>
      </c>
      <c r="C50" s="55">
        <v>17500</v>
      </c>
      <c r="D50" s="55">
        <v>17500</v>
      </c>
      <c r="E50" s="55">
        <v>21875</v>
      </c>
      <c r="F50" s="55">
        <v>21875</v>
      </c>
      <c r="G50" s="55">
        <v>17500</v>
      </c>
      <c r="H50" s="47"/>
      <c r="I50" s="47"/>
      <c r="J50" s="47"/>
      <c r="K50" s="47"/>
      <c r="L50" s="47"/>
      <c r="M50" s="47"/>
      <c r="N50" s="70">
        <v>157846</v>
      </c>
    </row>
    <row r="51" spans="2:14" ht="15.75">
      <c r="B51" s="79" t="s">
        <v>23</v>
      </c>
      <c r="C51" s="55">
        <v>0</v>
      </c>
      <c r="D51" s="55">
        <v>0</v>
      </c>
      <c r="E51" s="55">
        <v>0</v>
      </c>
      <c r="F51" s="55">
        <v>0</v>
      </c>
      <c r="G51" s="55">
        <v>0</v>
      </c>
      <c r="H51" s="47"/>
      <c r="I51" s="47"/>
      <c r="J51" s="47"/>
      <c r="K51" s="47"/>
      <c r="L51" s="47"/>
      <c r="M51" s="47"/>
      <c r="N51" s="70">
        <v>0</v>
      </c>
    </row>
    <row r="52" spans="2:14" ht="15.75">
      <c r="B52" s="79" t="s">
        <v>25</v>
      </c>
      <c r="C52" s="55">
        <v>0</v>
      </c>
      <c r="D52" s="55">
        <v>0</v>
      </c>
      <c r="E52" s="55">
        <v>0</v>
      </c>
      <c r="F52" s="55">
        <v>0</v>
      </c>
      <c r="G52" s="55">
        <v>0</v>
      </c>
      <c r="H52" s="47"/>
      <c r="I52" s="47"/>
      <c r="J52" s="47"/>
      <c r="K52" s="47"/>
      <c r="L52" s="47"/>
      <c r="M52" s="47"/>
      <c r="N52" s="70">
        <v>107000</v>
      </c>
    </row>
    <row r="53" spans="2:14" ht="15.75">
      <c r="B53" s="79" t="s">
        <v>27</v>
      </c>
      <c r="C53" s="55">
        <v>18220</v>
      </c>
      <c r="D53" s="55">
        <v>18220</v>
      </c>
      <c r="E53" s="55">
        <v>22775</v>
      </c>
      <c r="F53" s="55">
        <v>22775</v>
      </c>
      <c r="G53" s="55">
        <v>18220</v>
      </c>
      <c r="H53" s="47"/>
      <c r="I53" s="47"/>
      <c r="J53" s="47"/>
      <c r="K53" s="47"/>
      <c r="L53" s="47"/>
      <c r="M53" s="47"/>
      <c r="N53" s="70">
        <v>107000</v>
      </c>
    </row>
    <row r="54" spans="2:14" ht="15.75">
      <c r="B54" s="79" t="s">
        <v>34</v>
      </c>
      <c r="C54" s="55">
        <v>11216</v>
      </c>
      <c r="D54" s="55">
        <v>11216</v>
      </c>
      <c r="E54" s="55">
        <v>14020</v>
      </c>
      <c r="F54" s="55">
        <v>14020</v>
      </c>
      <c r="G54" s="55">
        <v>11216</v>
      </c>
      <c r="H54" s="47"/>
      <c r="I54" s="47"/>
      <c r="J54" s="47"/>
      <c r="K54" s="47"/>
      <c r="L54" s="47"/>
      <c r="M54" s="47"/>
      <c r="N54" s="70">
        <v>130210</v>
      </c>
    </row>
    <row r="55" spans="2:14" ht="15.75">
      <c r="B55" s="79" t="s">
        <v>40</v>
      </c>
      <c r="C55" s="55">
        <v>14000</v>
      </c>
      <c r="D55" s="55">
        <v>14000</v>
      </c>
      <c r="E55" s="55">
        <v>17500</v>
      </c>
      <c r="F55" s="55">
        <v>17500</v>
      </c>
      <c r="G55" s="55">
        <v>14000</v>
      </c>
      <c r="H55" s="47"/>
      <c r="I55" s="47"/>
      <c r="J55" s="47"/>
      <c r="K55" s="47"/>
      <c r="L55" s="47"/>
      <c r="M55" s="47"/>
      <c r="N55" s="70">
        <v>111688</v>
      </c>
    </row>
    <row r="56" spans="2:14" ht="15.75">
      <c r="B56" s="79" t="s">
        <v>46</v>
      </c>
      <c r="C56" s="55">
        <v>17000</v>
      </c>
      <c r="D56" s="55">
        <v>17000</v>
      </c>
      <c r="E56" s="55">
        <v>21250</v>
      </c>
      <c r="F56" s="55">
        <v>21250</v>
      </c>
      <c r="G56" s="55">
        <v>17000</v>
      </c>
      <c r="H56" s="47"/>
      <c r="I56" s="47"/>
      <c r="J56" s="47"/>
      <c r="K56" s="47"/>
      <c r="L56" s="47"/>
      <c r="M56" s="47"/>
      <c r="N56" s="70">
        <v>0</v>
      </c>
    </row>
    <row r="57" spans="2:14" ht="16.5" thickBot="1">
      <c r="B57" s="80" t="s">
        <v>53</v>
      </c>
      <c r="C57" s="55">
        <v>14000</v>
      </c>
      <c r="D57" s="55">
        <v>14000</v>
      </c>
      <c r="E57" s="55">
        <v>17500</v>
      </c>
      <c r="F57" s="55">
        <v>17500</v>
      </c>
      <c r="G57" s="55">
        <v>14000</v>
      </c>
      <c r="H57" s="48"/>
      <c r="I57" s="48"/>
      <c r="J57" s="48"/>
      <c r="K57" s="48"/>
      <c r="L57" s="48"/>
      <c r="M57" s="48"/>
      <c r="N57" s="71">
        <v>30000</v>
      </c>
    </row>
    <row r="58" spans="2:14" ht="16.5" thickBot="1">
      <c r="B58" s="81" t="s">
        <v>124</v>
      </c>
      <c r="C58" s="82">
        <v>107908</v>
      </c>
      <c r="D58" s="82">
        <v>107908</v>
      </c>
      <c r="E58" s="82">
        <v>134885</v>
      </c>
      <c r="F58" s="82">
        <v>134885</v>
      </c>
      <c r="G58" s="82">
        <v>107908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924504</v>
      </c>
    </row>
    <row r="59" spans="2:14" ht="15.75" thickBot="1">
      <c r="B59" s="91" t="s">
        <v>139</v>
      </c>
      <c r="C59" s="83"/>
      <c r="D59" s="83"/>
      <c r="E59" s="83"/>
      <c r="F59" s="83"/>
      <c r="G59" s="83"/>
    </row>
    <row r="60" spans="2:14">
      <c r="B60" s="84" t="s">
        <v>95</v>
      </c>
      <c r="C60" s="85" t="s">
        <v>112</v>
      </c>
      <c r="D60" s="85" t="s">
        <v>113</v>
      </c>
      <c r="E60" s="85" t="s">
        <v>114</v>
      </c>
      <c r="F60" s="83"/>
      <c r="G60" s="83"/>
    </row>
    <row r="61" spans="2:14">
      <c r="B61" s="79" t="s">
        <v>46</v>
      </c>
      <c r="C61" s="86">
        <v>0</v>
      </c>
      <c r="D61" s="86">
        <v>21</v>
      </c>
      <c r="E61" s="86">
        <v>0</v>
      </c>
      <c r="F61" s="83"/>
      <c r="G61" s="83"/>
    </row>
    <row r="62" spans="2:14">
      <c r="B62" s="79" t="s">
        <v>17</v>
      </c>
      <c r="C62" s="86">
        <v>0</v>
      </c>
      <c r="D62" s="86">
        <v>0</v>
      </c>
      <c r="E62" s="86">
        <v>0</v>
      </c>
      <c r="F62" s="83"/>
      <c r="G62" s="83"/>
    </row>
    <row r="63" spans="2:14">
      <c r="B63" s="79" t="s">
        <v>4</v>
      </c>
      <c r="C63" s="86">
        <v>0</v>
      </c>
      <c r="D63" s="86">
        <v>94</v>
      </c>
      <c r="E63" s="86">
        <v>62</v>
      </c>
      <c r="F63" s="83"/>
      <c r="G63" s="83"/>
    </row>
    <row r="64" spans="2:14">
      <c r="B64" s="79" t="s">
        <v>23</v>
      </c>
      <c r="C64" s="86">
        <v>0</v>
      </c>
      <c r="D64" s="86">
        <v>0</v>
      </c>
      <c r="E64" s="86">
        <v>0</v>
      </c>
      <c r="F64" s="83"/>
      <c r="G64" s="83"/>
    </row>
    <row r="65" spans="2:7">
      <c r="B65" s="79" t="s">
        <v>53</v>
      </c>
      <c r="C65" s="86">
        <v>0</v>
      </c>
      <c r="D65" s="86">
        <v>31</v>
      </c>
      <c r="E65" s="86">
        <v>36</v>
      </c>
      <c r="F65" s="83"/>
      <c r="G65" s="83"/>
    </row>
    <row r="66" spans="2:7">
      <c r="B66" s="79" t="s">
        <v>40</v>
      </c>
      <c r="C66" s="86">
        <v>48</v>
      </c>
      <c r="D66" s="86">
        <v>50</v>
      </c>
      <c r="E66" s="86">
        <v>41</v>
      </c>
      <c r="F66" s="83"/>
      <c r="G66" s="83"/>
    </row>
    <row r="67" spans="2:7">
      <c r="B67" s="79" t="s">
        <v>27</v>
      </c>
      <c r="C67" s="86">
        <v>11</v>
      </c>
      <c r="D67" s="86">
        <v>25</v>
      </c>
      <c r="E67" s="86">
        <v>22</v>
      </c>
      <c r="F67" s="83"/>
      <c r="G67" s="83"/>
    </row>
    <row r="68" spans="2:7">
      <c r="B68" s="79" t="s">
        <v>34</v>
      </c>
      <c r="C68" s="86">
        <v>57</v>
      </c>
      <c r="D68" s="86">
        <v>50</v>
      </c>
      <c r="E68" s="86">
        <v>35</v>
      </c>
      <c r="F68" s="83"/>
      <c r="G68" s="83"/>
    </row>
    <row r="69" spans="2:7">
      <c r="B69" s="79" t="s">
        <v>25</v>
      </c>
      <c r="C69" s="86">
        <v>0</v>
      </c>
      <c r="D69" s="86">
        <v>0</v>
      </c>
      <c r="E69" s="86">
        <v>0</v>
      </c>
      <c r="F69" s="83"/>
      <c r="G69" s="83"/>
    </row>
    <row r="70" spans="2:7" ht="15.75" thickBot="1">
      <c r="B70" s="79" t="s">
        <v>123</v>
      </c>
      <c r="C70" s="86">
        <v>0</v>
      </c>
      <c r="D70" s="86">
        <v>29</v>
      </c>
      <c r="E70" s="86">
        <v>22</v>
      </c>
      <c r="F70" s="83"/>
      <c r="G70" s="83"/>
    </row>
    <row r="71" spans="2:7" ht="15.75" thickTop="1">
      <c r="B71" s="87" t="s">
        <v>124</v>
      </c>
      <c r="C71" s="88">
        <v>116</v>
      </c>
      <c r="D71" s="88">
        <v>300</v>
      </c>
      <c r="E71" s="88">
        <v>218</v>
      </c>
      <c r="F71" s="83"/>
      <c r="G71" s="83"/>
    </row>
    <row r="72" spans="2:7" ht="15.75" thickBot="1">
      <c r="B72" s="89" t="s">
        <v>136</v>
      </c>
      <c r="C72" s="90">
        <v>268.6842672413793</v>
      </c>
      <c r="D72" s="90">
        <v>90.954999999999998</v>
      </c>
      <c r="E72" s="90">
        <v>49.163417431192663</v>
      </c>
      <c r="F72" s="83"/>
      <c r="G72" s="83"/>
    </row>
    <row r="73" spans="2:7" ht="15.75" thickTop="1"/>
  </sheetData>
  <sortState xmlns:xlrd2="http://schemas.microsoft.com/office/spreadsheetml/2017/richdata2" ref="B48:M57">
    <sortCondition ref="B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44DDC-6699-4624-A54A-E79318060211}">
  <sheetPr codeName="Sheet5"/>
  <dimension ref="A1:AC976"/>
  <sheetViews>
    <sheetView showGridLines="0" workbookViewId="0">
      <pane xSplit="1" ySplit="2" topLeftCell="I30" activePane="bottomRight" state="frozen"/>
      <selection pane="topRight" activeCell="B1" sqref="B1"/>
      <selection pane="bottomLeft" activeCell="A5" sqref="A5"/>
      <selection pane="bottomRight" activeCell="U33" sqref="U33"/>
    </sheetView>
  </sheetViews>
  <sheetFormatPr defaultColWidth="14.42578125" defaultRowHeight="15" customHeight="1"/>
  <cols>
    <col min="1" max="1" width="2.42578125" style="106" customWidth="1"/>
    <col min="2" max="2" width="15.42578125" style="106" customWidth="1"/>
    <col min="3" max="3" width="11.7109375" style="106" customWidth="1"/>
    <col min="4" max="4" width="24.7109375" style="106" customWidth="1"/>
    <col min="5" max="5" width="15" style="106" customWidth="1"/>
    <col min="6" max="6" width="10.140625" style="106" customWidth="1"/>
    <col min="7" max="9" width="10.7109375" style="106" customWidth="1"/>
    <col min="10" max="10" width="10.28515625" style="106" customWidth="1"/>
    <col min="11" max="17" width="10.7109375" style="106" customWidth="1"/>
    <col min="18" max="18" width="11.85546875" style="106" customWidth="1"/>
    <col min="19" max="19" width="13.7109375" style="106" customWidth="1"/>
    <col min="20" max="29" width="9.140625" style="106" customWidth="1"/>
    <col min="30" max="16384" width="14.42578125" style="106"/>
  </cols>
  <sheetData>
    <row r="1" spans="1:29" ht="15.75" customHeight="1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</row>
    <row r="2" spans="1:29" ht="15.75" customHeight="1" thickBot="1">
      <c r="A2" s="105"/>
      <c r="B2" s="105"/>
      <c r="C2" s="107" t="s">
        <v>147</v>
      </c>
      <c r="D2" s="107" t="s">
        <v>148</v>
      </c>
      <c r="E2" s="108" t="s">
        <v>92</v>
      </c>
      <c r="F2" s="109">
        <v>43101</v>
      </c>
      <c r="G2" s="109">
        <v>43132</v>
      </c>
      <c r="H2" s="109">
        <v>43160</v>
      </c>
      <c r="I2" s="109">
        <v>43191</v>
      </c>
      <c r="J2" s="109">
        <v>43221</v>
      </c>
      <c r="K2" s="109">
        <v>43252</v>
      </c>
      <c r="L2" s="109">
        <v>43282</v>
      </c>
      <c r="M2" s="109">
        <v>43313</v>
      </c>
      <c r="N2" s="109">
        <v>43344</v>
      </c>
      <c r="O2" s="109">
        <v>43374</v>
      </c>
      <c r="P2" s="109">
        <v>43405</v>
      </c>
      <c r="Q2" s="109">
        <v>43435</v>
      </c>
      <c r="R2" s="109">
        <v>43466</v>
      </c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</row>
    <row r="3" spans="1:29" ht="18.75" customHeight="1" thickBot="1">
      <c r="B3" s="110" t="s">
        <v>123</v>
      </c>
      <c r="C3" s="111" t="s">
        <v>149</v>
      </c>
      <c r="D3" s="112" t="s">
        <v>150</v>
      </c>
      <c r="E3" s="113">
        <v>600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  <c r="L3" s="114">
        <v>600</v>
      </c>
      <c r="M3" s="114">
        <v>0</v>
      </c>
      <c r="N3" s="114">
        <v>0</v>
      </c>
      <c r="O3" s="115">
        <v>0</v>
      </c>
      <c r="P3" s="115">
        <v>0</v>
      </c>
      <c r="Q3" s="116">
        <v>0</v>
      </c>
      <c r="R3" s="137">
        <f t="shared" ref="R3:R10" si="0">SUM(F3:Q3)</f>
        <v>600</v>
      </c>
      <c r="S3" s="137">
        <v>600</v>
      </c>
      <c r="T3" s="138">
        <f>R3/$R$12</f>
        <v>4.3496857352056315E-3</v>
      </c>
      <c r="U3" s="134">
        <f>R3/$R$94</f>
        <v>2.9123668805638341E-3</v>
      </c>
      <c r="V3" s="117"/>
      <c r="W3" s="117"/>
      <c r="X3" s="117"/>
      <c r="Y3" s="117"/>
      <c r="Z3" s="117"/>
      <c r="AA3" s="117"/>
      <c r="AB3" s="117"/>
      <c r="AC3" s="117"/>
    </row>
    <row r="4" spans="1:29" ht="18.75" customHeight="1" thickBot="1">
      <c r="B4" s="118"/>
      <c r="C4" s="119" t="s">
        <v>149</v>
      </c>
      <c r="D4" s="120" t="s">
        <v>151</v>
      </c>
      <c r="E4" s="113">
        <v>0</v>
      </c>
      <c r="F4" s="115">
        <v>0</v>
      </c>
      <c r="G4" s="115">
        <v>0</v>
      </c>
      <c r="H4" s="115">
        <v>0</v>
      </c>
      <c r="I4" s="115">
        <v>0</v>
      </c>
      <c r="J4" s="115">
        <v>0</v>
      </c>
      <c r="K4" s="115">
        <v>0</v>
      </c>
      <c r="L4" s="115">
        <v>0</v>
      </c>
      <c r="M4" s="115">
        <v>0</v>
      </c>
      <c r="N4" s="115">
        <v>0</v>
      </c>
      <c r="O4" s="115">
        <v>0</v>
      </c>
      <c r="P4" s="115">
        <v>0</v>
      </c>
      <c r="Q4" s="116">
        <v>0</v>
      </c>
      <c r="R4" s="137">
        <f t="shared" si="0"/>
        <v>0</v>
      </c>
      <c r="S4" s="137">
        <v>0</v>
      </c>
      <c r="T4" s="138">
        <f t="shared" ref="T4:T11" si="1">R4/$R$12</f>
        <v>0</v>
      </c>
      <c r="U4" s="134">
        <f t="shared" ref="U4:U11" si="2">R4/$R$94</f>
        <v>0</v>
      </c>
      <c r="V4" s="117"/>
      <c r="W4" s="117"/>
      <c r="X4" s="117"/>
      <c r="Y4" s="117"/>
      <c r="Z4" s="117"/>
      <c r="AA4" s="117"/>
      <c r="AB4" s="117"/>
      <c r="AC4" s="117"/>
    </row>
    <row r="5" spans="1:29" ht="17.25" customHeight="1" thickBot="1">
      <c r="A5" s="105"/>
      <c r="B5" s="105"/>
      <c r="C5" s="121" t="s">
        <v>152</v>
      </c>
      <c r="D5" s="122" t="s">
        <v>150</v>
      </c>
      <c r="E5" s="113">
        <v>45170</v>
      </c>
      <c r="F5" s="115">
        <v>5720</v>
      </c>
      <c r="G5" s="115">
        <v>5450</v>
      </c>
      <c r="H5" s="115">
        <v>4250</v>
      </c>
      <c r="I5" s="115">
        <v>6500</v>
      </c>
      <c r="J5" s="115">
        <v>3500</v>
      </c>
      <c r="K5" s="115">
        <v>0</v>
      </c>
      <c r="L5" s="115">
        <v>0</v>
      </c>
      <c r="M5" s="115">
        <v>9880</v>
      </c>
      <c r="N5" s="115">
        <v>9870</v>
      </c>
      <c r="O5" s="115">
        <v>0</v>
      </c>
      <c r="P5" s="115">
        <v>0</v>
      </c>
      <c r="Q5" s="116">
        <v>0</v>
      </c>
      <c r="R5" s="137">
        <f t="shared" si="0"/>
        <v>45170</v>
      </c>
      <c r="S5" s="137">
        <v>45170</v>
      </c>
      <c r="T5" s="138">
        <f t="shared" si="1"/>
        <v>0.32745884109873064</v>
      </c>
      <c r="U5" s="134">
        <f t="shared" si="2"/>
        <v>0.21925268665844733</v>
      </c>
      <c r="V5" s="117"/>
      <c r="W5" s="117"/>
      <c r="X5" s="117"/>
      <c r="Y5" s="117"/>
      <c r="Z5" s="117"/>
      <c r="AA5" s="117"/>
      <c r="AB5" s="117"/>
      <c r="AC5" s="117"/>
    </row>
    <row r="6" spans="1:29" ht="15.75" customHeight="1" thickBot="1">
      <c r="A6" s="105"/>
      <c r="B6" s="105"/>
      <c r="C6" s="121" t="s">
        <v>152</v>
      </c>
      <c r="D6" s="120" t="s">
        <v>153</v>
      </c>
      <c r="E6" s="113">
        <v>51567</v>
      </c>
      <c r="F6" s="115">
        <v>2725</v>
      </c>
      <c r="G6" s="115">
        <v>5050</v>
      </c>
      <c r="H6" s="115">
        <v>11600</v>
      </c>
      <c r="I6" s="115">
        <v>9350</v>
      </c>
      <c r="J6" s="115">
        <v>12300</v>
      </c>
      <c r="K6" s="115">
        <v>500</v>
      </c>
      <c r="L6" s="115">
        <v>0</v>
      </c>
      <c r="M6" s="115">
        <v>7340</v>
      </c>
      <c r="N6" s="115">
        <v>2702</v>
      </c>
      <c r="O6" s="115">
        <v>0</v>
      </c>
      <c r="P6" s="115">
        <v>0</v>
      </c>
      <c r="Q6" s="116">
        <v>0</v>
      </c>
      <c r="R6" s="137">
        <f t="shared" si="0"/>
        <v>51567</v>
      </c>
      <c r="S6" s="137">
        <v>51567</v>
      </c>
      <c r="T6" s="138">
        <f t="shared" si="1"/>
        <v>0.37383374051224799</v>
      </c>
      <c r="U6" s="134">
        <f t="shared" si="2"/>
        <v>0.25030337155005872</v>
      </c>
      <c r="V6" s="117"/>
      <c r="W6" s="117"/>
      <c r="X6" s="117"/>
      <c r="Y6" s="117"/>
      <c r="Z6" s="117"/>
      <c r="AA6" s="117"/>
      <c r="AB6" s="117"/>
      <c r="AC6" s="117"/>
    </row>
    <row r="7" spans="1:29" ht="15.75" customHeight="1" thickBot="1">
      <c r="A7" s="105"/>
      <c r="B7" s="105"/>
      <c r="C7" s="121" t="s">
        <v>154</v>
      </c>
      <c r="D7" s="122" t="s">
        <v>150</v>
      </c>
      <c r="E7" s="113">
        <v>19532</v>
      </c>
      <c r="F7" s="115">
        <v>0</v>
      </c>
      <c r="G7" s="115">
        <v>1000</v>
      </c>
      <c r="H7" s="115">
        <v>750</v>
      </c>
      <c r="I7" s="115">
        <v>1750</v>
      </c>
      <c r="J7" s="115">
        <v>3700</v>
      </c>
      <c r="K7" s="115">
        <v>4500</v>
      </c>
      <c r="L7" s="115">
        <v>5750</v>
      </c>
      <c r="M7" s="115">
        <v>2082</v>
      </c>
      <c r="N7" s="115">
        <v>0</v>
      </c>
      <c r="O7" s="115">
        <v>0</v>
      </c>
      <c r="P7" s="115">
        <v>0</v>
      </c>
      <c r="Q7" s="116">
        <v>0</v>
      </c>
      <c r="R7" s="137">
        <f t="shared" si="0"/>
        <v>19532</v>
      </c>
      <c r="S7" s="137">
        <v>19532</v>
      </c>
      <c r="T7" s="138">
        <f t="shared" si="1"/>
        <v>0.14159676963339399</v>
      </c>
      <c r="U7" s="134">
        <f t="shared" si="2"/>
        <v>9.4807249851954684E-2</v>
      </c>
      <c r="V7" s="117"/>
      <c r="W7" s="117"/>
      <c r="X7" s="117"/>
      <c r="Y7" s="117"/>
      <c r="Z7" s="117"/>
      <c r="AA7" s="117"/>
      <c r="AB7" s="117"/>
      <c r="AC7" s="117"/>
    </row>
    <row r="8" spans="1:29" ht="15.75" customHeight="1" thickBot="1">
      <c r="A8" s="105"/>
      <c r="B8" s="105"/>
      <c r="C8" s="121" t="s">
        <v>154</v>
      </c>
      <c r="D8" s="123" t="s">
        <v>155</v>
      </c>
      <c r="E8" s="113">
        <v>0</v>
      </c>
      <c r="F8" s="115">
        <v>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6">
        <v>0</v>
      </c>
      <c r="R8" s="137">
        <f t="shared" si="0"/>
        <v>0</v>
      </c>
      <c r="S8" s="137">
        <v>0</v>
      </c>
      <c r="T8" s="138">
        <f t="shared" si="1"/>
        <v>0</v>
      </c>
      <c r="U8" s="134">
        <f t="shared" si="2"/>
        <v>0</v>
      </c>
      <c r="V8" s="117"/>
      <c r="W8" s="117"/>
      <c r="X8" s="117"/>
      <c r="Y8" s="117"/>
      <c r="Z8" s="117"/>
      <c r="AA8" s="117"/>
      <c r="AB8" s="117"/>
      <c r="AC8" s="117"/>
    </row>
    <row r="9" spans="1:29" ht="15.75" customHeight="1" thickBot="1">
      <c r="A9" s="105"/>
      <c r="B9" s="105"/>
      <c r="C9" s="121" t="s">
        <v>154</v>
      </c>
      <c r="D9" s="124" t="s">
        <v>156</v>
      </c>
      <c r="E9" s="113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6">
        <v>0</v>
      </c>
      <c r="R9" s="137">
        <f t="shared" si="0"/>
        <v>0</v>
      </c>
      <c r="S9" s="137">
        <v>0</v>
      </c>
      <c r="T9" s="138">
        <f t="shared" si="1"/>
        <v>0</v>
      </c>
      <c r="U9" s="134">
        <f t="shared" si="2"/>
        <v>0</v>
      </c>
      <c r="V9" s="117"/>
      <c r="W9" s="117"/>
      <c r="X9" s="117"/>
      <c r="Y9" s="117"/>
      <c r="Z9" s="117"/>
      <c r="AA9" s="117"/>
      <c r="AB9" s="117"/>
      <c r="AC9" s="117"/>
    </row>
    <row r="10" spans="1:29" ht="15.75" customHeight="1" thickBot="1">
      <c r="A10" s="105"/>
      <c r="B10" s="105"/>
      <c r="C10" s="119" t="s">
        <v>157</v>
      </c>
      <c r="D10" s="125" t="s">
        <v>158</v>
      </c>
      <c r="E10" s="113">
        <v>3950</v>
      </c>
      <c r="F10" s="115">
        <v>450</v>
      </c>
      <c r="G10" s="115">
        <v>1000</v>
      </c>
      <c r="H10" s="115">
        <v>250</v>
      </c>
      <c r="I10" s="115">
        <v>1000</v>
      </c>
      <c r="J10" s="115">
        <v>1000</v>
      </c>
      <c r="K10" s="115">
        <v>250</v>
      </c>
      <c r="L10" s="115">
        <v>0</v>
      </c>
      <c r="M10" s="115">
        <v>0</v>
      </c>
      <c r="N10" s="115">
        <v>0</v>
      </c>
      <c r="O10" s="115">
        <v>0</v>
      </c>
      <c r="P10" s="115">
        <v>0</v>
      </c>
      <c r="Q10" s="116">
        <v>0</v>
      </c>
      <c r="R10" s="137">
        <f t="shared" si="0"/>
        <v>3950</v>
      </c>
      <c r="S10" s="137">
        <v>3950</v>
      </c>
      <c r="T10" s="138">
        <f t="shared" si="1"/>
        <v>2.863543109010374E-2</v>
      </c>
      <c r="U10" s="134">
        <f t="shared" si="2"/>
        <v>1.9173081963711907E-2</v>
      </c>
      <c r="V10" s="117"/>
      <c r="W10" s="117"/>
      <c r="X10" s="117"/>
      <c r="Y10" s="117"/>
      <c r="Z10" s="117"/>
      <c r="AA10" s="117"/>
      <c r="AB10" s="117"/>
      <c r="AC10" s="117"/>
    </row>
    <row r="11" spans="1:29" ht="15.75" customHeight="1" thickBot="1">
      <c r="A11" s="105"/>
      <c r="B11" s="105"/>
      <c r="C11" s="126" t="s">
        <v>159</v>
      </c>
      <c r="D11" s="127" t="s">
        <v>159</v>
      </c>
      <c r="E11" s="113">
        <v>17122</v>
      </c>
      <c r="F11" s="128">
        <v>0</v>
      </c>
      <c r="G11" s="128">
        <v>0</v>
      </c>
      <c r="H11" s="128">
        <v>0</v>
      </c>
      <c r="I11" s="128">
        <v>1600</v>
      </c>
      <c r="J11" s="128">
        <v>0</v>
      </c>
      <c r="K11" s="128">
        <v>500</v>
      </c>
      <c r="L11" s="128">
        <v>3000</v>
      </c>
      <c r="M11" s="128">
        <v>5206</v>
      </c>
      <c r="N11" s="128">
        <v>6816</v>
      </c>
      <c r="O11" s="128">
        <v>0</v>
      </c>
      <c r="P11" s="128">
        <v>0</v>
      </c>
      <c r="Q11" s="129">
        <v>0</v>
      </c>
      <c r="R11" s="137">
        <f>SUM(F11:Q11)</f>
        <v>17122</v>
      </c>
      <c r="S11" s="137">
        <v>17122</v>
      </c>
      <c r="T11" s="138">
        <f t="shared" si="1"/>
        <v>0.12412553193031803</v>
      </c>
      <c r="U11" s="134">
        <f t="shared" si="2"/>
        <v>8.3109242881689943E-2</v>
      </c>
      <c r="V11" s="117"/>
      <c r="W11" s="117"/>
      <c r="X11" s="117"/>
      <c r="Y11" s="117"/>
      <c r="Z11" s="117"/>
      <c r="AA11" s="117"/>
      <c r="AB11" s="117"/>
      <c r="AC11" s="117"/>
    </row>
    <row r="12" spans="1:29" ht="15.75" customHeight="1" thickBot="1">
      <c r="A12" s="105"/>
      <c r="B12" s="105"/>
      <c r="C12" s="105"/>
      <c r="D12" s="105" t="s">
        <v>92</v>
      </c>
      <c r="E12" s="130"/>
      <c r="F12" s="130">
        <f>SUM(F3:F11)</f>
        <v>8895</v>
      </c>
      <c r="G12" s="130">
        <f t="shared" ref="G12:Q12" si="3">SUM(G3:G11)</f>
        <v>12500</v>
      </c>
      <c r="H12" s="130">
        <f t="shared" si="3"/>
        <v>16850</v>
      </c>
      <c r="I12" s="130">
        <f t="shared" si="3"/>
        <v>20200</v>
      </c>
      <c r="J12" s="130">
        <f t="shared" si="3"/>
        <v>20500</v>
      </c>
      <c r="K12" s="130">
        <f t="shared" si="3"/>
        <v>5750</v>
      </c>
      <c r="L12" s="130">
        <f t="shared" si="3"/>
        <v>9350</v>
      </c>
      <c r="M12" s="130">
        <f t="shared" si="3"/>
        <v>24508</v>
      </c>
      <c r="N12" s="130">
        <f t="shared" si="3"/>
        <v>19388</v>
      </c>
      <c r="O12" s="130">
        <f t="shared" si="3"/>
        <v>0</v>
      </c>
      <c r="P12" s="130">
        <f t="shared" si="3"/>
        <v>0</v>
      </c>
      <c r="Q12" s="130">
        <f t="shared" si="3"/>
        <v>0</v>
      </c>
      <c r="R12" s="130">
        <f>SUM(F12:Q12)</f>
        <v>137941</v>
      </c>
      <c r="S12" s="130">
        <f>SUM(S3:S9)+S11</f>
        <v>133991</v>
      </c>
      <c r="T12" s="138"/>
      <c r="U12" s="117"/>
      <c r="V12" s="117"/>
      <c r="W12" s="117"/>
      <c r="X12" s="117"/>
      <c r="Y12" s="117"/>
      <c r="Z12" s="117"/>
      <c r="AA12" s="117"/>
      <c r="AB12" s="117"/>
      <c r="AC12" s="117"/>
    </row>
    <row r="13" spans="1:29" ht="15.75" customHeight="1">
      <c r="A13" s="105"/>
      <c r="B13" s="131" t="s">
        <v>4</v>
      </c>
      <c r="C13" s="111" t="s">
        <v>149</v>
      </c>
      <c r="D13" s="112" t="s">
        <v>150</v>
      </c>
      <c r="E13" s="132">
        <v>365498</v>
      </c>
      <c r="F13" s="114">
        <v>32800</v>
      </c>
      <c r="G13" s="114">
        <v>31200</v>
      </c>
      <c r="H13" s="114">
        <v>38400</v>
      </c>
      <c r="I13" s="114">
        <v>36000</v>
      </c>
      <c r="J13" s="114">
        <v>35200</v>
      </c>
      <c r="K13" s="114">
        <v>8000</v>
      </c>
      <c r="L13" s="114">
        <v>31200</v>
      </c>
      <c r="M13" s="114">
        <v>26100</v>
      </c>
      <c r="N13" s="114">
        <v>32338</v>
      </c>
      <c r="O13" s="114">
        <v>32900</v>
      </c>
      <c r="P13" s="114">
        <v>29250</v>
      </c>
      <c r="Q13" s="114">
        <v>32110</v>
      </c>
      <c r="R13" s="137">
        <f t="shared" ref="R13:R20" si="4">SUM(F13:Q13)</f>
        <v>365498</v>
      </c>
      <c r="S13" s="137">
        <v>365498</v>
      </c>
      <c r="T13" s="138">
        <f>R13/$R$22</f>
        <v>0.37564337630730776</v>
      </c>
      <c r="U13" s="134">
        <f>R13/$R$95</f>
        <v>0.41557806599938829</v>
      </c>
      <c r="V13" s="117"/>
      <c r="W13" s="117"/>
      <c r="X13" s="117"/>
      <c r="Y13" s="117"/>
      <c r="Z13" s="117"/>
      <c r="AA13" s="117"/>
      <c r="AB13" s="117"/>
      <c r="AC13" s="117"/>
    </row>
    <row r="14" spans="1:29" ht="15.75" customHeight="1">
      <c r="A14" s="105"/>
      <c r="C14" s="119" t="s">
        <v>149</v>
      </c>
      <c r="D14" s="120" t="s">
        <v>151</v>
      </c>
      <c r="E14" s="132">
        <v>4450</v>
      </c>
      <c r="F14" s="115">
        <v>0</v>
      </c>
      <c r="G14" s="115">
        <v>0</v>
      </c>
      <c r="H14" s="115">
        <v>0</v>
      </c>
      <c r="I14" s="115">
        <v>0</v>
      </c>
      <c r="J14" s="115">
        <v>0</v>
      </c>
      <c r="K14" s="115">
        <v>0</v>
      </c>
      <c r="L14" s="115">
        <v>1450</v>
      </c>
      <c r="M14" s="115">
        <v>3000</v>
      </c>
      <c r="N14" s="115">
        <v>0</v>
      </c>
      <c r="O14" s="115">
        <v>0</v>
      </c>
      <c r="P14" s="115">
        <v>0</v>
      </c>
      <c r="Q14" s="116">
        <v>0</v>
      </c>
      <c r="R14" s="137">
        <f t="shared" si="4"/>
        <v>4450</v>
      </c>
      <c r="S14" s="137">
        <v>4450</v>
      </c>
      <c r="T14" s="138">
        <f t="shared" ref="T14:T21" si="5">R14/$R$22</f>
        <v>4.5735216733539434E-3</v>
      </c>
      <c r="U14" s="134">
        <f t="shared" ref="U14:U21" si="6">R14/$R$95</f>
        <v>5.059733278150025E-3</v>
      </c>
      <c r="V14" s="117"/>
      <c r="W14" s="117"/>
      <c r="X14" s="117"/>
      <c r="Y14" s="117"/>
      <c r="Z14" s="117"/>
      <c r="AA14" s="117"/>
      <c r="AB14" s="117"/>
      <c r="AC14" s="117"/>
    </row>
    <row r="15" spans="1:29" ht="15.75" customHeight="1">
      <c r="A15" s="105"/>
      <c r="C15" s="121" t="s">
        <v>152</v>
      </c>
      <c r="D15" s="122" t="s">
        <v>150</v>
      </c>
      <c r="E15" s="132">
        <v>151326</v>
      </c>
      <c r="F15" s="115">
        <v>5250</v>
      </c>
      <c r="G15" s="115">
        <v>8250</v>
      </c>
      <c r="H15" s="115">
        <v>7500</v>
      </c>
      <c r="I15" s="115">
        <v>9750</v>
      </c>
      <c r="J15" s="115">
        <v>8280</v>
      </c>
      <c r="K15" s="115">
        <v>1500</v>
      </c>
      <c r="L15" s="115">
        <v>23300</v>
      </c>
      <c r="M15" s="115">
        <v>15000</v>
      </c>
      <c r="N15" s="115">
        <v>10101</v>
      </c>
      <c r="O15" s="115">
        <v>21470</v>
      </c>
      <c r="P15" s="115">
        <v>18125</v>
      </c>
      <c r="Q15" s="116">
        <v>22800</v>
      </c>
      <c r="R15" s="137">
        <f t="shared" si="4"/>
        <v>151326</v>
      </c>
      <c r="S15" s="137">
        <v>151326</v>
      </c>
      <c r="T15" s="138">
        <f t="shared" si="5"/>
        <v>0.15552645859369862</v>
      </c>
      <c r="U15" s="134">
        <f t="shared" si="6"/>
        <v>0.17206049394366982</v>
      </c>
      <c r="V15" s="117"/>
      <c r="W15" s="117"/>
      <c r="X15" s="117"/>
      <c r="Y15" s="117"/>
      <c r="Z15" s="117"/>
      <c r="AA15" s="117"/>
      <c r="AB15" s="117"/>
      <c r="AC15" s="117"/>
    </row>
    <row r="16" spans="1:29" ht="15.75" customHeight="1">
      <c r="A16" s="105"/>
      <c r="C16" s="121" t="s">
        <v>152</v>
      </c>
      <c r="D16" s="120" t="s">
        <v>153</v>
      </c>
      <c r="E16" s="132">
        <v>90910</v>
      </c>
      <c r="F16" s="115">
        <v>10850</v>
      </c>
      <c r="G16" s="115">
        <v>2100</v>
      </c>
      <c r="H16" s="115">
        <v>9685</v>
      </c>
      <c r="I16" s="115">
        <v>19625</v>
      </c>
      <c r="J16" s="115">
        <v>10425</v>
      </c>
      <c r="K16" s="115">
        <v>1000</v>
      </c>
      <c r="L16" s="115">
        <v>16325</v>
      </c>
      <c r="M16" s="115">
        <v>1475</v>
      </c>
      <c r="N16" s="115">
        <v>2755</v>
      </c>
      <c r="O16" s="115">
        <v>825</v>
      </c>
      <c r="P16" s="115">
        <v>6670</v>
      </c>
      <c r="Q16" s="116">
        <v>9175</v>
      </c>
      <c r="R16" s="137">
        <f t="shared" si="4"/>
        <v>90910</v>
      </c>
      <c r="S16" s="137">
        <v>90910</v>
      </c>
      <c r="T16" s="138">
        <f t="shared" si="5"/>
        <v>9.3433450634743148E-2</v>
      </c>
      <c r="U16" s="134">
        <f t="shared" si="6"/>
        <v>0.10336637130710534</v>
      </c>
      <c r="V16" s="117"/>
      <c r="W16" s="117"/>
      <c r="X16" s="117"/>
      <c r="Y16" s="117"/>
      <c r="Z16" s="117"/>
      <c r="AA16" s="117"/>
      <c r="AB16" s="117"/>
      <c r="AC16" s="117"/>
    </row>
    <row r="17" spans="1:29" ht="15.75" customHeight="1">
      <c r="A17" s="105"/>
      <c r="C17" s="121" t="s">
        <v>154</v>
      </c>
      <c r="D17" s="122" t="s">
        <v>150</v>
      </c>
      <c r="E17" s="132">
        <v>139568</v>
      </c>
      <c r="F17" s="115">
        <v>19340</v>
      </c>
      <c r="G17" s="115">
        <v>17710</v>
      </c>
      <c r="H17" s="115">
        <v>18240</v>
      </c>
      <c r="I17" s="115">
        <v>21120</v>
      </c>
      <c r="J17" s="115">
        <v>21320</v>
      </c>
      <c r="K17" s="115">
        <v>4000</v>
      </c>
      <c r="L17" s="115">
        <v>6820</v>
      </c>
      <c r="M17" s="115">
        <v>3000</v>
      </c>
      <c r="N17" s="115">
        <v>18018</v>
      </c>
      <c r="O17" s="115">
        <v>6500</v>
      </c>
      <c r="P17" s="115">
        <v>250</v>
      </c>
      <c r="Q17" s="116">
        <v>3250</v>
      </c>
      <c r="R17" s="137">
        <f t="shared" si="4"/>
        <v>139568</v>
      </c>
      <c r="S17" s="137">
        <v>139568</v>
      </c>
      <c r="T17" s="138">
        <f t="shared" si="5"/>
        <v>0.14344208379925014</v>
      </c>
      <c r="U17" s="134">
        <f t="shared" si="6"/>
        <v>0.15869142790221183</v>
      </c>
      <c r="V17" s="117"/>
      <c r="W17" s="117"/>
      <c r="X17" s="117"/>
      <c r="Y17" s="117"/>
      <c r="Z17" s="117"/>
      <c r="AA17" s="117"/>
      <c r="AB17" s="117"/>
      <c r="AC17" s="117"/>
    </row>
    <row r="18" spans="1:29" ht="15.75" customHeight="1">
      <c r="A18" s="105"/>
      <c r="C18" s="121" t="s">
        <v>154</v>
      </c>
      <c r="D18" s="123" t="s">
        <v>155</v>
      </c>
      <c r="E18" s="132">
        <v>0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0</v>
      </c>
      <c r="Q18" s="116">
        <v>0</v>
      </c>
      <c r="R18" s="137">
        <f t="shared" si="4"/>
        <v>0</v>
      </c>
      <c r="S18" s="137">
        <v>0</v>
      </c>
      <c r="T18" s="138">
        <f t="shared" si="5"/>
        <v>0</v>
      </c>
      <c r="U18" s="134">
        <f t="shared" si="6"/>
        <v>0</v>
      </c>
      <c r="V18" s="117"/>
      <c r="W18" s="117"/>
      <c r="X18" s="117"/>
      <c r="Y18" s="117"/>
      <c r="Z18" s="117"/>
      <c r="AA18" s="117"/>
      <c r="AB18" s="117"/>
      <c r="AC18" s="117"/>
    </row>
    <row r="19" spans="1:29" ht="15.75" customHeight="1">
      <c r="A19" s="105"/>
      <c r="C19" s="121" t="s">
        <v>154</v>
      </c>
      <c r="D19" s="124" t="s">
        <v>156</v>
      </c>
      <c r="E19" s="132">
        <v>0</v>
      </c>
      <c r="F19" s="115">
        <v>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0</v>
      </c>
      <c r="N19" s="115">
        <v>0</v>
      </c>
      <c r="O19" s="115">
        <v>0</v>
      </c>
      <c r="P19" s="115">
        <v>0</v>
      </c>
      <c r="Q19" s="116">
        <v>0</v>
      </c>
      <c r="R19" s="137">
        <f t="shared" si="4"/>
        <v>0</v>
      </c>
      <c r="S19" s="137">
        <v>0</v>
      </c>
      <c r="T19" s="138">
        <f t="shared" si="5"/>
        <v>0</v>
      </c>
      <c r="U19" s="134">
        <f t="shared" si="6"/>
        <v>0</v>
      </c>
      <c r="V19" s="117"/>
      <c r="W19" s="117"/>
      <c r="X19" s="117"/>
      <c r="Y19" s="117"/>
      <c r="Z19" s="117"/>
      <c r="AA19" s="117"/>
      <c r="AB19" s="117"/>
      <c r="AC19" s="117"/>
    </row>
    <row r="20" spans="1:29" ht="15.75" customHeight="1" thickBot="1">
      <c r="A20" s="105"/>
      <c r="C20" s="119" t="s">
        <v>157</v>
      </c>
      <c r="D20" s="127" t="s">
        <v>158</v>
      </c>
      <c r="E20" s="132">
        <v>77050</v>
      </c>
      <c r="F20" s="115">
        <v>17250</v>
      </c>
      <c r="G20" s="115">
        <v>14150</v>
      </c>
      <c r="H20" s="115">
        <v>11750</v>
      </c>
      <c r="I20" s="115">
        <v>8700</v>
      </c>
      <c r="J20" s="115">
        <v>8450</v>
      </c>
      <c r="K20" s="115">
        <v>3500</v>
      </c>
      <c r="L20" s="115">
        <v>800</v>
      </c>
      <c r="M20" s="115">
        <v>550</v>
      </c>
      <c r="N20" s="115">
        <v>0</v>
      </c>
      <c r="O20" s="115">
        <v>6900</v>
      </c>
      <c r="P20" s="115">
        <v>500</v>
      </c>
      <c r="Q20" s="116">
        <v>4500</v>
      </c>
      <c r="R20" s="137">
        <f t="shared" si="4"/>
        <v>77050</v>
      </c>
      <c r="S20" s="137">
        <v>77050</v>
      </c>
      <c r="T20" s="138">
        <f t="shared" si="5"/>
        <v>7.9188729198184565E-2</v>
      </c>
      <c r="U20" s="134">
        <f t="shared" si="6"/>
        <v>8.7607291928417846E-2</v>
      </c>
      <c r="V20" s="117"/>
      <c r="W20" s="117"/>
      <c r="X20" s="117"/>
      <c r="Y20" s="117"/>
      <c r="Z20" s="117"/>
      <c r="AA20" s="117"/>
      <c r="AB20" s="117"/>
      <c r="AC20" s="117"/>
    </row>
    <row r="21" spans="1:29" ht="15.75" customHeight="1" thickBot="1">
      <c r="A21" s="105"/>
      <c r="C21" s="126" t="s">
        <v>159</v>
      </c>
      <c r="D21" s="127" t="s">
        <v>159</v>
      </c>
      <c r="E21" s="132">
        <v>144190</v>
      </c>
      <c r="F21" s="128">
        <v>7010</v>
      </c>
      <c r="G21" s="128">
        <v>3810</v>
      </c>
      <c r="H21" s="128">
        <v>11290</v>
      </c>
      <c r="I21" s="128">
        <v>15130</v>
      </c>
      <c r="J21" s="128">
        <v>15790</v>
      </c>
      <c r="K21" s="128">
        <v>2510</v>
      </c>
      <c r="L21" s="128">
        <v>7525</v>
      </c>
      <c r="M21" s="128">
        <v>12050</v>
      </c>
      <c r="N21" s="128">
        <v>29680</v>
      </c>
      <c r="O21" s="128">
        <v>21060</v>
      </c>
      <c r="P21" s="128">
        <v>5080</v>
      </c>
      <c r="Q21" s="129">
        <v>13255</v>
      </c>
      <c r="R21" s="137">
        <f>SUM(F21:Q21)</f>
        <v>144190</v>
      </c>
      <c r="S21" s="137">
        <v>144190</v>
      </c>
      <c r="T21" s="138">
        <f t="shared" si="5"/>
        <v>0.14819237979346181</v>
      </c>
      <c r="U21" s="134">
        <f t="shared" si="6"/>
        <v>0.16394672839920271</v>
      </c>
      <c r="V21" s="117"/>
      <c r="W21" s="117"/>
      <c r="X21" s="117"/>
      <c r="Y21" s="117"/>
      <c r="Z21" s="117"/>
      <c r="AA21" s="117"/>
      <c r="AB21" s="117"/>
      <c r="AC21" s="117"/>
    </row>
    <row r="22" spans="1:29" ht="15.75" customHeight="1" thickBot="1">
      <c r="A22" s="105"/>
      <c r="B22" s="105"/>
      <c r="C22" s="105"/>
      <c r="D22" s="117"/>
      <c r="E22" s="117"/>
      <c r="F22" s="130">
        <f>SUM(F13:F21)</f>
        <v>92500</v>
      </c>
      <c r="G22" s="130">
        <f t="shared" ref="G22" si="7">SUM(G13:G21)</f>
        <v>77220</v>
      </c>
      <c r="H22" s="130">
        <f t="shared" ref="H22" si="8">SUM(H13:H21)</f>
        <v>96865</v>
      </c>
      <c r="I22" s="130">
        <f t="shared" ref="I22" si="9">SUM(I13:I21)</f>
        <v>110325</v>
      </c>
      <c r="J22" s="130">
        <f t="shared" ref="J22" si="10">SUM(J13:J21)</f>
        <v>99465</v>
      </c>
      <c r="K22" s="130">
        <f t="shared" ref="K22" si="11">SUM(K13:K21)</f>
        <v>20510</v>
      </c>
      <c r="L22" s="130">
        <f t="shared" ref="L22" si="12">SUM(L13:L21)</f>
        <v>87420</v>
      </c>
      <c r="M22" s="130">
        <f t="shared" ref="M22" si="13">SUM(M13:M21)</f>
        <v>61175</v>
      </c>
      <c r="N22" s="130">
        <f t="shared" ref="N22" si="14">SUM(N13:N21)</f>
        <v>92892</v>
      </c>
      <c r="O22" s="130">
        <f t="shared" ref="O22" si="15">SUM(O13:O21)</f>
        <v>89655</v>
      </c>
      <c r="P22" s="130">
        <f t="shared" ref="P22" si="16">SUM(P13:P21)</f>
        <v>59875</v>
      </c>
      <c r="Q22" s="130">
        <f t="shared" ref="Q22" si="17">SUM(Q13:Q21)</f>
        <v>85090</v>
      </c>
      <c r="R22" s="130">
        <f>SUM(F22:Q22)</f>
        <v>972992</v>
      </c>
      <c r="S22" s="130">
        <f>SUM(S13:S19)+S21</f>
        <v>895942</v>
      </c>
      <c r="T22" s="117"/>
      <c r="U22" s="117"/>
      <c r="V22" s="117"/>
      <c r="W22" s="117"/>
      <c r="X22" s="117"/>
      <c r="Y22" s="117"/>
      <c r="Z22" s="117"/>
      <c r="AA22" s="117"/>
      <c r="AB22" s="117"/>
      <c r="AC22" s="117"/>
    </row>
    <row r="23" spans="1:29" ht="15.75" customHeight="1" thickBot="1">
      <c r="A23" s="105"/>
      <c r="B23" s="131" t="s">
        <v>17</v>
      </c>
      <c r="C23" s="111" t="s">
        <v>149</v>
      </c>
      <c r="D23" s="112" t="s">
        <v>150</v>
      </c>
      <c r="E23" s="132">
        <v>312681</v>
      </c>
      <c r="F23" s="114">
        <v>17000</v>
      </c>
      <c r="G23" s="114">
        <v>17000</v>
      </c>
      <c r="H23" s="114">
        <v>21000</v>
      </c>
      <c r="I23" s="114">
        <v>23000</v>
      </c>
      <c r="J23" s="114">
        <v>23500</v>
      </c>
      <c r="K23" s="114">
        <v>26200</v>
      </c>
      <c r="L23" s="114">
        <v>37329</v>
      </c>
      <c r="M23" s="114">
        <v>34199</v>
      </c>
      <c r="N23" s="114">
        <v>48188</v>
      </c>
      <c r="O23" s="114">
        <v>27200</v>
      </c>
      <c r="P23" s="114">
        <v>19435</v>
      </c>
      <c r="Q23" s="114">
        <v>18630</v>
      </c>
      <c r="R23" s="137">
        <f t="shared" ref="R23:R30" si="18">SUM(F23:Q23)</f>
        <v>312681</v>
      </c>
      <c r="S23" s="137">
        <v>312681</v>
      </c>
      <c r="T23" s="138">
        <f t="shared" ref="T23:T30" si="19">R23/$R$32</f>
        <v>0.25102902463637916</v>
      </c>
      <c r="U23" s="134">
        <f>R23/$R$96</f>
        <v>0.40376673854934725</v>
      </c>
      <c r="V23" s="117"/>
      <c r="W23" s="117"/>
      <c r="X23" s="117"/>
      <c r="Y23" s="117"/>
      <c r="Z23" s="117"/>
      <c r="AA23" s="117"/>
      <c r="AB23" s="117"/>
      <c r="AC23" s="117"/>
    </row>
    <row r="24" spans="1:29" ht="15.75" customHeight="1" thickBot="1">
      <c r="A24" s="105"/>
      <c r="C24" s="119" t="s">
        <v>149</v>
      </c>
      <c r="D24" s="120" t="s">
        <v>151</v>
      </c>
      <c r="E24" s="132">
        <v>8575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5">
        <v>5225</v>
      </c>
      <c r="M24" s="115">
        <v>3350</v>
      </c>
      <c r="N24" s="115">
        <v>0</v>
      </c>
      <c r="O24" s="115">
        <v>0</v>
      </c>
      <c r="P24" s="115">
        <v>0</v>
      </c>
      <c r="Q24" s="116">
        <v>0</v>
      </c>
      <c r="R24" s="137">
        <f t="shared" si="18"/>
        <v>8575</v>
      </c>
      <c r="S24" s="137">
        <v>8575</v>
      </c>
      <c r="T24" s="138">
        <f t="shared" si="19"/>
        <v>6.8842490789557138E-3</v>
      </c>
      <c r="U24" s="134">
        <f t="shared" ref="U24:U31" si="20">R24/$R$96</f>
        <v>1.1072945855554552E-2</v>
      </c>
      <c r="V24" s="117"/>
      <c r="W24" s="117"/>
      <c r="X24" s="117"/>
      <c r="Y24" s="117"/>
      <c r="Z24" s="117"/>
      <c r="AA24" s="117"/>
      <c r="AB24" s="117"/>
      <c r="AC24" s="117"/>
    </row>
    <row r="25" spans="1:29" ht="15.75" customHeight="1" thickBot="1">
      <c r="A25" s="105"/>
      <c r="C25" s="121" t="s">
        <v>152</v>
      </c>
      <c r="D25" s="122" t="s">
        <v>150</v>
      </c>
      <c r="E25" s="132">
        <v>145309</v>
      </c>
      <c r="F25" s="114">
        <v>5500</v>
      </c>
      <c r="G25" s="114">
        <v>6500</v>
      </c>
      <c r="H25" s="114">
        <v>6000</v>
      </c>
      <c r="I25" s="114">
        <v>6500</v>
      </c>
      <c r="J25" s="114">
        <v>6375</v>
      </c>
      <c r="K25" s="114">
        <v>9955</v>
      </c>
      <c r="L25" s="115">
        <v>32300</v>
      </c>
      <c r="M25" s="115">
        <v>28100</v>
      </c>
      <c r="N25" s="115">
        <v>11583</v>
      </c>
      <c r="O25" s="115">
        <v>20750</v>
      </c>
      <c r="P25" s="115">
        <v>5064</v>
      </c>
      <c r="Q25" s="116">
        <v>6682</v>
      </c>
      <c r="R25" s="137">
        <f t="shared" si="18"/>
        <v>145309</v>
      </c>
      <c r="S25" s="137">
        <v>145309</v>
      </c>
      <c r="T25" s="138">
        <f t="shared" si="19"/>
        <v>0.11665811654973479</v>
      </c>
      <c r="U25" s="134">
        <f t="shared" si="20"/>
        <v>0.18763833111659198</v>
      </c>
      <c r="V25" s="117"/>
      <c r="W25" s="117"/>
      <c r="X25" s="117"/>
      <c r="Y25" s="117"/>
      <c r="Z25" s="117"/>
      <c r="AA25" s="117"/>
      <c r="AB25" s="117"/>
      <c r="AC25" s="117"/>
    </row>
    <row r="26" spans="1:29" ht="15.75" customHeight="1" thickBot="1">
      <c r="A26" s="105"/>
      <c r="C26" s="121" t="s">
        <v>152</v>
      </c>
      <c r="D26" s="120" t="s">
        <v>153</v>
      </c>
      <c r="E26" s="132">
        <v>99977</v>
      </c>
      <c r="F26" s="114">
        <v>8275</v>
      </c>
      <c r="G26" s="114">
        <v>3900</v>
      </c>
      <c r="H26" s="114">
        <v>7000</v>
      </c>
      <c r="I26" s="114">
        <v>17410</v>
      </c>
      <c r="J26" s="114">
        <v>13725</v>
      </c>
      <c r="K26" s="114">
        <v>17050</v>
      </c>
      <c r="L26" s="115">
        <v>11925</v>
      </c>
      <c r="M26" s="115">
        <v>4500</v>
      </c>
      <c r="N26" s="115">
        <v>763</v>
      </c>
      <c r="O26" s="115">
        <v>7700</v>
      </c>
      <c r="P26" s="115">
        <v>3863</v>
      </c>
      <c r="Q26" s="116">
        <v>3866</v>
      </c>
      <c r="R26" s="137">
        <f t="shared" si="18"/>
        <v>99977</v>
      </c>
      <c r="S26" s="137">
        <v>99977</v>
      </c>
      <c r="T26" s="138">
        <f t="shared" si="19"/>
        <v>8.0264323051516664E-2</v>
      </c>
      <c r="U26" s="134">
        <f t="shared" si="20"/>
        <v>0.12910086388347258</v>
      </c>
      <c r="V26" s="117"/>
      <c r="W26" s="117"/>
      <c r="X26" s="117"/>
      <c r="Y26" s="117"/>
      <c r="Z26" s="117"/>
      <c r="AA26" s="117"/>
      <c r="AB26" s="117"/>
      <c r="AC26" s="117"/>
    </row>
    <row r="27" spans="1:29" ht="15.75" customHeight="1" thickBot="1">
      <c r="A27" s="105"/>
      <c r="C27" s="121" t="s">
        <v>154</v>
      </c>
      <c r="D27" s="122" t="s">
        <v>150</v>
      </c>
      <c r="E27" s="132">
        <v>269680</v>
      </c>
      <c r="F27" s="114">
        <v>31625</v>
      </c>
      <c r="G27" s="114">
        <v>20500</v>
      </c>
      <c r="H27" s="114">
        <v>26000</v>
      </c>
      <c r="I27" s="114">
        <v>31250</v>
      </c>
      <c r="J27" s="114">
        <v>38000</v>
      </c>
      <c r="K27" s="114">
        <v>39500</v>
      </c>
      <c r="L27" s="115">
        <v>10500</v>
      </c>
      <c r="M27" s="115">
        <v>11250</v>
      </c>
      <c r="N27" s="115">
        <v>24110</v>
      </c>
      <c r="O27" s="115">
        <v>500</v>
      </c>
      <c r="P27" s="115">
        <v>19435</v>
      </c>
      <c r="Q27" s="116">
        <v>17010</v>
      </c>
      <c r="R27" s="137">
        <f t="shared" si="18"/>
        <v>269680</v>
      </c>
      <c r="S27" s="137">
        <v>269680</v>
      </c>
      <c r="T27" s="138">
        <f t="shared" si="19"/>
        <v>0.2165066229286037</v>
      </c>
      <c r="U27" s="134">
        <f t="shared" si="20"/>
        <v>0.34823930476104387</v>
      </c>
      <c r="V27" s="117"/>
      <c r="W27" s="117"/>
      <c r="X27" s="117"/>
      <c r="Y27" s="117"/>
      <c r="Z27" s="117"/>
      <c r="AA27" s="117"/>
      <c r="AB27" s="117"/>
      <c r="AC27" s="117"/>
    </row>
    <row r="28" spans="1:29" ht="15.75" customHeight="1" thickBot="1">
      <c r="A28" s="105"/>
      <c r="C28" s="121" t="s">
        <v>154</v>
      </c>
      <c r="D28" s="123" t="s">
        <v>155</v>
      </c>
      <c r="E28" s="132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5">
        <v>0</v>
      </c>
      <c r="M28" s="115">
        <v>0</v>
      </c>
      <c r="N28" s="115">
        <v>0</v>
      </c>
      <c r="O28" s="115">
        <v>0</v>
      </c>
      <c r="P28" s="115">
        <v>0</v>
      </c>
      <c r="Q28" s="116">
        <v>0</v>
      </c>
      <c r="R28" s="137">
        <f t="shared" si="18"/>
        <v>0</v>
      </c>
      <c r="S28" s="137">
        <v>0</v>
      </c>
      <c r="T28" s="138">
        <f t="shared" si="19"/>
        <v>0</v>
      </c>
      <c r="U28" s="134">
        <f t="shared" si="20"/>
        <v>0</v>
      </c>
      <c r="V28" s="117"/>
      <c r="W28" s="117"/>
      <c r="X28" s="117"/>
      <c r="Y28" s="117"/>
      <c r="Z28" s="117"/>
      <c r="AA28" s="117"/>
      <c r="AB28" s="117"/>
      <c r="AC28" s="117"/>
    </row>
    <row r="29" spans="1:29" ht="15.75" customHeight="1" thickBot="1">
      <c r="A29" s="105"/>
      <c r="C29" s="121" t="s">
        <v>154</v>
      </c>
      <c r="D29" s="124" t="s">
        <v>156</v>
      </c>
      <c r="E29" s="132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6">
        <v>0</v>
      </c>
      <c r="R29" s="137">
        <f t="shared" si="18"/>
        <v>0</v>
      </c>
      <c r="S29" s="137">
        <v>0</v>
      </c>
      <c r="T29" s="138">
        <f t="shared" si="19"/>
        <v>0</v>
      </c>
      <c r="U29" s="134">
        <f t="shared" si="20"/>
        <v>0</v>
      </c>
      <c r="V29" s="117"/>
      <c r="W29" s="117"/>
      <c r="X29" s="117"/>
      <c r="Y29" s="117"/>
      <c r="Z29" s="117"/>
      <c r="AA29" s="117"/>
      <c r="AB29" s="117"/>
      <c r="AC29" s="117"/>
    </row>
    <row r="30" spans="1:29" ht="15.75" customHeight="1" thickBot="1">
      <c r="A30" s="105"/>
      <c r="B30" s="105"/>
      <c r="C30" s="119" t="s">
        <v>157</v>
      </c>
      <c r="D30" s="127" t="s">
        <v>158</v>
      </c>
      <c r="E30" s="132">
        <v>174149</v>
      </c>
      <c r="F30" s="114">
        <v>20200</v>
      </c>
      <c r="G30" s="114">
        <v>0</v>
      </c>
      <c r="H30" s="114">
        <v>28350</v>
      </c>
      <c r="I30" s="114">
        <v>19950</v>
      </c>
      <c r="J30" s="114">
        <v>21500</v>
      </c>
      <c r="K30" s="114">
        <v>41225</v>
      </c>
      <c r="L30" s="115">
        <v>1000</v>
      </c>
      <c r="M30" s="115">
        <v>1000</v>
      </c>
      <c r="N30" s="115">
        <v>0</v>
      </c>
      <c r="O30" s="115">
        <v>1500</v>
      </c>
      <c r="P30" s="115">
        <v>22739</v>
      </c>
      <c r="Q30" s="116">
        <v>16685</v>
      </c>
      <c r="R30" s="137">
        <f t="shared" si="18"/>
        <v>174149</v>
      </c>
      <c r="S30" s="137">
        <v>174149</v>
      </c>
      <c r="T30" s="138">
        <f t="shared" si="19"/>
        <v>0.13981167263569197</v>
      </c>
      <c r="U30" s="134">
        <f t="shared" si="20"/>
        <v>0.22487958574915096</v>
      </c>
      <c r="V30" s="117"/>
      <c r="W30" s="117"/>
      <c r="X30" s="117"/>
      <c r="Y30" s="117"/>
      <c r="Z30" s="117"/>
      <c r="AA30" s="117"/>
      <c r="AB30" s="117"/>
      <c r="AC30" s="117"/>
    </row>
    <row r="31" spans="1:29" ht="15.75" customHeight="1" thickBot="1">
      <c r="A31" s="105"/>
      <c r="B31" s="105"/>
      <c r="C31" s="126" t="s">
        <v>159</v>
      </c>
      <c r="D31" s="127" t="s">
        <v>159</v>
      </c>
      <c r="E31" s="132">
        <v>235226</v>
      </c>
      <c r="F31" s="114">
        <v>6010</v>
      </c>
      <c r="G31" s="114">
        <v>2460</v>
      </c>
      <c r="H31" s="114">
        <v>6055</v>
      </c>
      <c r="I31" s="114">
        <v>13985</v>
      </c>
      <c r="J31" s="114">
        <v>25620</v>
      </c>
      <c r="K31" s="114">
        <v>19795</v>
      </c>
      <c r="L31" s="128">
        <v>41445</v>
      </c>
      <c r="M31" s="128">
        <v>41082</v>
      </c>
      <c r="N31" s="128">
        <v>65629</v>
      </c>
      <c r="O31" s="128">
        <v>2550</v>
      </c>
      <c r="P31" s="128">
        <v>6104</v>
      </c>
      <c r="Q31" s="129">
        <v>4491</v>
      </c>
      <c r="R31" s="137">
        <f>SUM(F31:Q31)</f>
        <v>235226</v>
      </c>
      <c r="S31" s="137">
        <v>235226</v>
      </c>
      <c r="T31" s="138">
        <f>R31/$R$32</f>
        <v>0.18884599111911798</v>
      </c>
      <c r="U31" s="134">
        <f t="shared" si="20"/>
        <v>0.30374866027039937</v>
      </c>
      <c r="V31" s="117"/>
      <c r="W31" s="117"/>
      <c r="X31" s="117"/>
      <c r="Y31" s="117"/>
      <c r="Z31" s="117"/>
      <c r="AA31" s="117"/>
      <c r="AB31" s="117"/>
      <c r="AC31" s="117"/>
    </row>
    <row r="32" spans="1:29" ht="15.75" customHeight="1" thickBot="1">
      <c r="A32" s="105"/>
      <c r="B32" s="105"/>
      <c r="C32" s="105"/>
      <c r="D32" s="117"/>
      <c r="E32" s="117"/>
      <c r="F32" s="130">
        <f>SUM(F23:F31)</f>
        <v>88610</v>
      </c>
      <c r="G32" s="130">
        <f t="shared" ref="G32" si="21">SUM(G23:G31)</f>
        <v>50360</v>
      </c>
      <c r="H32" s="130">
        <f t="shared" ref="H32" si="22">SUM(H23:H31)</f>
        <v>94405</v>
      </c>
      <c r="I32" s="130">
        <f t="shared" ref="I32" si="23">SUM(I23:I31)</f>
        <v>112095</v>
      </c>
      <c r="J32" s="130">
        <f t="shared" ref="J32" si="24">SUM(J23:J31)</f>
        <v>128720</v>
      </c>
      <c r="K32" s="130">
        <f t="shared" ref="K32" si="25">SUM(K23:K31)</f>
        <v>153725</v>
      </c>
      <c r="L32" s="130">
        <f t="shared" ref="L32" si="26">SUM(L23:L31)</f>
        <v>139724</v>
      </c>
      <c r="M32" s="130">
        <f t="shared" ref="M32" si="27">SUM(M23:M31)</f>
        <v>123481</v>
      </c>
      <c r="N32" s="130">
        <f t="shared" ref="N32" si="28">SUM(N23:N31)</f>
        <v>150273</v>
      </c>
      <c r="O32" s="130">
        <f t="shared" ref="O32" si="29">SUM(O23:O31)</f>
        <v>60200</v>
      </c>
      <c r="P32" s="130">
        <f t="shared" ref="P32" si="30">SUM(P23:P31)</f>
        <v>76640</v>
      </c>
      <c r="Q32" s="130">
        <f t="shared" ref="Q32" si="31">SUM(Q23:Q31)</f>
        <v>67364</v>
      </c>
      <c r="R32" s="130">
        <f>SUM(F32:Q32)</f>
        <v>1245597</v>
      </c>
      <c r="S32" s="130">
        <f>SUM(S23:S29)+S31</f>
        <v>1071448</v>
      </c>
      <c r="T32" s="117"/>
      <c r="U32" s="117"/>
      <c r="V32" s="117"/>
      <c r="W32" s="117"/>
      <c r="X32" s="117"/>
      <c r="Y32" s="117"/>
      <c r="Z32" s="117"/>
      <c r="AA32" s="117"/>
      <c r="AB32" s="117"/>
      <c r="AC32" s="117"/>
    </row>
    <row r="33" spans="1:29" ht="15.75" customHeight="1" thickBot="1">
      <c r="A33" s="105"/>
      <c r="B33" s="131" t="s">
        <v>27</v>
      </c>
      <c r="C33" s="111" t="s">
        <v>149</v>
      </c>
      <c r="D33" s="112" t="s">
        <v>150</v>
      </c>
      <c r="E33" s="132">
        <v>6201</v>
      </c>
      <c r="F33" s="114">
        <v>1000</v>
      </c>
      <c r="G33" s="114">
        <v>0</v>
      </c>
      <c r="H33" s="114">
        <v>0</v>
      </c>
      <c r="I33" s="114">
        <v>1000</v>
      </c>
      <c r="J33" s="114">
        <v>0</v>
      </c>
      <c r="K33" s="114">
        <v>250</v>
      </c>
      <c r="L33" s="114">
        <v>800</v>
      </c>
      <c r="M33" s="114">
        <v>0</v>
      </c>
      <c r="N33" s="114">
        <v>2259</v>
      </c>
      <c r="O33" s="114">
        <v>892</v>
      </c>
      <c r="P33" s="114">
        <v>0</v>
      </c>
      <c r="Q33" s="114">
        <v>0</v>
      </c>
      <c r="R33" s="137">
        <f t="shared" ref="R33:R40" si="32">SUM(F33:Q33)</f>
        <v>6201</v>
      </c>
      <c r="S33" s="137">
        <v>6201</v>
      </c>
      <c r="T33" s="138">
        <f>R33/$R$42</f>
        <v>2.9923995656894679E-2</v>
      </c>
      <c r="U33" s="134">
        <f>R33/$R$97</f>
        <v>2.2196370404839461E-2</v>
      </c>
      <c r="V33" s="117"/>
      <c r="W33" s="117"/>
      <c r="X33" s="117"/>
      <c r="Y33" s="117"/>
      <c r="Z33" s="117"/>
      <c r="AA33" s="117"/>
      <c r="AB33" s="117"/>
      <c r="AC33" s="117"/>
    </row>
    <row r="34" spans="1:29" ht="15.75" customHeight="1" thickBot="1">
      <c r="A34" s="105"/>
      <c r="C34" s="119" t="s">
        <v>149</v>
      </c>
      <c r="D34" s="120" t="s">
        <v>151</v>
      </c>
      <c r="E34" s="132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5">
        <v>0</v>
      </c>
      <c r="M34" s="115">
        <v>0</v>
      </c>
      <c r="N34" s="115">
        <v>0</v>
      </c>
      <c r="O34" s="115">
        <v>0</v>
      </c>
      <c r="P34" s="115">
        <v>0</v>
      </c>
      <c r="Q34" s="116">
        <v>0</v>
      </c>
      <c r="R34" s="137">
        <f t="shared" si="32"/>
        <v>0</v>
      </c>
      <c r="S34" s="137">
        <v>0</v>
      </c>
      <c r="T34" s="138">
        <f t="shared" ref="T34:T41" si="33">R34/$R$42</f>
        <v>0</v>
      </c>
      <c r="U34" s="134">
        <f t="shared" ref="U34:U41" si="34">R34/$R$97</f>
        <v>0</v>
      </c>
      <c r="V34" s="117"/>
      <c r="W34" s="117"/>
      <c r="X34" s="117"/>
      <c r="Y34" s="117"/>
      <c r="Z34" s="117"/>
      <c r="AA34" s="117"/>
      <c r="AB34" s="117"/>
      <c r="AC34" s="117"/>
    </row>
    <row r="35" spans="1:29" ht="15.75" customHeight="1" thickBot="1">
      <c r="A35" s="105"/>
      <c r="C35" s="121" t="s">
        <v>152</v>
      </c>
      <c r="D35" s="122" t="s">
        <v>150</v>
      </c>
      <c r="E35" s="132">
        <v>59965</v>
      </c>
      <c r="F35" s="114">
        <v>4500</v>
      </c>
      <c r="G35" s="114">
        <v>6355</v>
      </c>
      <c r="H35" s="114">
        <v>9090</v>
      </c>
      <c r="I35" s="114">
        <v>1150</v>
      </c>
      <c r="J35" s="114">
        <v>4400</v>
      </c>
      <c r="K35" s="114">
        <v>3000</v>
      </c>
      <c r="L35" s="115">
        <v>0</v>
      </c>
      <c r="M35" s="115">
        <v>10081</v>
      </c>
      <c r="N35" s="115">
        <v>7103</v>
      </c>
      <c r="O35" s="115">
        <v>7311</v>
      </c>
      <c r="P35" s="115">
        <v>2625</v>
      </c>
      <c r="Q35" s="116">
        <v>4350</v>
      </c>
      <c r="R35" s="137">
        <f t="shared" si="32"/>
        <v>59965</v>
      </c>
      <c r="S35" s="137">
        <v>59965</v>
      </c>
      <c r="T35" s="138">
        <f t="shared" si="33"/>
        <v>0.28937145614670046</v>
      </c>
      <c r="U35" s="134">
        <f t="shared" si="34"/>
        <v>0.21464366252639869</v>
      </c>
      <c r="V35" s="117"/>
      <c r="W35" s="117"/>
      <c r="X35" s="117"/>
      <c r="Y35" s="117"/>
      <c r="Z35" s="117"/>
      <c r="AA35" s="117"/>
      <c r="AB35" s="117"/>
      <c r="AC35" s="117"/>
    </row>
    <row r="36" spans="1:29" ht="15.75" customHeight="1" thickBot="1">
      <c r="A36" s="105"/>
      <c r="C36" s="121" t="s">
        <v>152</v>
      </c>
      <c r="D36" s="120" t="s">
        <v>153</v>
      </c>
      <c r="E36" s="132">
        <v>21325</v>
      </c>
      <c r="F36" s="114">
        <v>3695</v>
      </c>
      <c r="G36" s="114">
        <v>3150</v>
      </c>
      <c r="H36" s="114">
        <v>1100</v>
      </c>
      <c r="I36" s="114">
        <v>450</v>
      </c>
      <c r="J36" s="114">
        <v>1350</v>
      </c>
      <c r="K36" s="114">
        <v>950</v>
      </c>
      <c r="L36" s="115">
        <v>550</v>
      </c>
      <c r="M36" s="115">
        <v>3598</v>
      </c>
      <c r="N36" s="115">
        <v>938</v>
      </c>
      <c r="O36" s="115">
        <v>2341</v>
      </c>
      <c r="P36" s="115">
        <v>1953</v>
      </c>
      <c r="Q36" s="116">
        <v>1250</v>
      </c>
      <c r="R36" s="137">
        <f t="shared" si="32"/>
        <v>21325</v>
      </c>
      <c r="S36" s="137">
        <v>21325</v>
      </c>
      <c r="T36" s="138">
        <f t="shared" si="33"/>
        <v>0.10290746772831463</v>
      </c>
      <c r="U36" s="134">
        <f t="shared" si="34"/>
        <v>7.6332462325947661E-2</v>
      </c>
      <c r="V36" s="117"/>
      <c r="W36" s="117"/>
      <c r="X36" s="117"/>
      <c r="Y36" s="117"/>
      <c r="Z36" s="117"/>
      <c r="AA36" s="117"/>
      <c r="AB36" s="117"/>
      <c r="AC36" s="117"/>
    </row>
    <row r="37" spans="1:29" ht="15.75" customHeight="1" thickBot="1">
      <c r="A37" s="105"/>
      <c r="C37" s="121" t="s">
        <v>154</v>
      </c>
      <c r="D37" s="122" t="s">
        <v>150</v>
      </c>
      <c r="E37" s="132">
        <v>90516</v>
      </c>
      <c r="F37" s="114">
        <v>7150</v>
      </c>
      <c r="G37" s="114">
        <v>9100</v>
      </c>
      <c r="H37" s="114">
        <v>2000</v>
      </c>
      <c r="I37" s="114">
        <v>16790</v>
      </c>
      <c r="J37" s="114">
        <v>12500</v>
      </c>
      <c r="K37" s="114">
        <v>17300</v>
      </c>
      <c r="L37" s="115">
        <v>14000</v>
      </c>
      <c r="M37" s="115">
        <v>6804</v>
      </c>
      <c r="N37" s="115">
        <v>1883</v>
      </c>
      <c r="O37" s="115">
        <v>2989</v>
      </c>
      <c r="P37" s="115">
        <v>0</v>
      </c>
      <c r="Q37" s="116">
        <v>0</v>
      </c>
      <c r="R37" s="137">
        <f t="shared" si="32"/>
        <v>90516</v>
      </c>
      <c r="S37" s="137">
        <v>90516</v>
      </c>
      <c r="T37" s="138">
        <f t="shared" si="33"/>
        <v>0.43680057908070935</v>
      </c>
      <c r="U37" s="134">
        <f t="shared" si="34"/>
        <v>0.32400042953788882</v>
      </c>
      <c r="V37" s="117"/>
      <c r="W37" s="117"/>
      <c r="X37" s="117"/>
      <c r="Y37" s="117"/>
      <c r="Z37" s="117"/>
      <c r="AA37" s="117"/>
      <c r="AB37" s="117"/>
      <c r="AC37" s="117"/>
    </row>
    <row r="38" spans="1:29" ht="15.75" customHeight="1" thickBot="1">
      <c r="A38" s="105"/>
      <c r="C38" s="121" t="s">
        <v>154</v>
      </c>
      <c r="D38" s="123" t="s">
        <v>155</v>
      </c>
      <c r="E38" s="132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5">
        <v>0</v>
      </c>
      <c r="M38" s="115">
        <v>0</v>
      </c>
      <c r="N38" s="115">
        <v>0</v>
      </c>
      <c r="O38" s="115">
        <v>0</v>
      </c>
      <c r="P38" s="115">
        <v>0</v>
      </c>
      <c r="Q38" s="116">
        <v>0</v>
      </c>
      <c r="R38" s="137">
        <f t="shared" si="32"/>
        <v>0</v>
      </c>
      <c r="S38" s="137">
        <v>0</v>
      </c>
      <c r="T38" s="138">
        <f t="shared" si="33"/>
        <v>0</v>
      </c>
      <c r="U38" s="134">
        <f t="shared" si="34"/>
        <v>0</v>
      </c>
      <c r="V38" s="117"/>
      <c r="W38" s="117"/>
      <c r="X38" s="117"/>
      <c r="Y38" s="117"/>
      <c r="Z38" s="117"/>
      <c r="AA38" s="117"/>
      <c r="AB38" s="117"/>
      <c r="AC38" s="117"/>
    </row>
    <row r="39" spans="1:29" ht="15.75" customHeight="1" thickBot="1">
      <c r="A39" s="105"/>
      <c r="B39" s="105"/>
      <c r="C39" s="121" t="s">
        <v>154</v>
      </c>
      <c r="D39" s="124" t="s">
        <v>156</v>
      </c>
      <c r="E39" s="132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5">
        <v>0</v>
      </c>
      <c r="M39" s="115">
        <v>0</v>
      </c>
      <c r="N39" s="115">
        <v>0</v>
      </c>
      <c r="O39" s="115">
        <v>0</v>
      </c>
      <c r="P39" s="115">
        <v>0</v>
      </c>
      <c r="Q39" s="116">
        <v>0</v>
      </c>
      <c r="R39" s="137">
        <f t="shared" si="32"/>
        <v>0</v>
      </c>
      <c r="S39" s="137">
        <v>0</v>
      </c>
      <c r="T39" s="138">
        <f t="shared" si="33"/>
        <v>0</v>
      </c>
      <c r="U39" s="134">
        <f t="shared" si="34"/>
        <v>0</v>
      </c>
      <c r="V39" s="117"/>
      <c r="W39" s="117"/>
      <c r="X39" s="117"/>
      <c r="Y39" s="117"/>
      <c r="Z39" s="117"/>
      <c r="AA39" s="117"/>
      <c r="AB39" s="117"/>
      <c r="AC39" s="117"/>
    </row>
    <row r="40" spans="1:29" ht="15.75" customHeight="1" thickBot="1">
      <c r="A40" s="105"/>
      <c r="B40" s="105"/>
      <c r="C40" s="119" t="s">
        <v>157</v>
      </c>
      <c r="D40" s="127" t="s">
        <v>158</v>
      </c>
      <c r="E40" s="132">
        <v>2200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5">
        <v>0</v>
      </c>
      <c r="M40" s="115">
        <v>0</v>
      </c>
      <c r="N40" s="115">
        <v>0</v>
      </c>
      <c r="O40" s="115">
        <v>0</v>
      </c>
      <c r="P40" s="115">
        <v>0</v>
      </c>
      <c r="Q40" s="116">
        <v>2200</v>
      </c>
      <c r="R40" s="137">
        <f t="shared" si="32"/>
        <v>2200</v>
      </c>
      <c r="S40" s="137">
        <v>2200</v>
      </c>
      <c r="T40" s="138">
        <f t="shared" si="33"/>
        <v>1.0616479671854265E-2</v>
      </c>
      <c r="U40" s="134">
        <f t="shared" si="34"/>
        <v>7.8748612950567346E-3</v>
      </c>
      <c r="V40" s="117"/>
      <c r="W40" s="117"/>
      <c r="X40" s="117"/>
      <c r="Y40" s="117"/>
      <c r="Z40" s="117"/>
      <c r="AA40" s="117"/>
      <c r="AB40" s="117"/>
      <c r="AC40" s="117"/>
    </row>
    <row r="41" spans="1:29" ht="15.75" customHeight="1" thickBot="1">
      <c r="A41" s="105"/>
      <c r="B41" s="105"/>
      <c r="C41" s="126" t="s">
        <v>159</v>
      </c>
      <c r="D41" s="127" t="s">
        <v>159</v>
      </c>
      <c r="E41" s="132">
        <v>27018</v>
      </c>
      <c r="F41" s="114">
        <v>1390</v>
      </c>
      <c r="G41" s="114">
        <v>1250</v>
      </c>
      <c r="H41" s="114">
        <v>2570</v>
      </c>
      <c r="I41" s="114">
        <v>1215</v>
      </c>
      <c r="J41" s="114">
        <v>2400</v>
      </c>
      <c r="K41" s="114">
        <v>3440</v>
      </c>
      <c r="L41" s="128">
        <v>9040</v>
      </c>
      <c r="M41" s="128">
        <v>0</v>
      </c>
      <c r="N41" s="128">
        <v>37</v>
      </c>
      <c r="O41" s="128">
        <v>0</v>
      </c>
      <c r="P41" s="128">
        <v>1121</v>
      </c>
      <c r="Q41" s="129">
        <v>4555</v>
      </c>
      <c r="R41" s="137">
        <f>SUM(F41:Q41)</f>
        <v>27018</v>
      </c>
      <c r="S41" s="137">
        <v>27018</v>
      </c>
      <c r="T41" s="138">
        <f t="shared" si="33"/>
        <v>0.1303800217155266</v>
      </c>
      <c r="U41" s="134">
        <f t="shared" si="34"/>
        <v>9.6710455668110387E-2</v>
      </c>
      <c r="V41" s="117"/>
      <c r="W41" s="117"/>
      <c r="X41" s="117"/>
      <c r="Y41" s="117"/>
      <c r="Z41" s="117"/>
      <c r="AA41" s="117"/>
      <c r="AB41" s="117"/>
      <c r="AC41" s="117"/>
    </row>
    <row r="42" spans="1:29" ht="15.75" customHeight="1" thickBot="1">
      <c r="A42" s="105"/>
      <c r="C42" s="105"/>
      <c r="D42" s="117"/>
      <c r="E42" s="117"/>
      <c r="F42" s="130">
        <f>SUM(F33:F41)</f>
        <v>17735</v>
      </c>
      <c r="G42" s="130">
        <f t="shared" ref="G42" si="35">SUM(G33:G41)</f>
        <v>19855</v>
      </c>
      <c r="H42" s="130">
        <f t="shared" ref="H42" si="36">SUM(H33:H41)</f>
        <v>14760</v>
      </c>
      <c r="I42" s="130">
        <f t="shared" ref="I42" si="37">SUM(I33:I41)</f>
        <v>20605</v>
      </c>
      <c r="J42" s="130">
        <f t="shared" ref="J42" si="38">SUM(J33:J41)</f>
        <v>20650</v>
      </c>
      <c r="K42" s="130">
        <f t="shared" ref="K42" si="39">SUM(K33:K41)</f>
        <v>24940</v>
      </c>
      <c r="L42" s="130">
        <f t="shared" ref="L42" si="40">SUM(L33:L41)</f>
        <v>24390</v>
      </c>
      <c r="M42" s="130">
        <f t="shared" ref="M42" si="41">SUM(M33:M41)</f>
        <v>20483</v>
      </c>
      <c r="N42" s="130">
        <f t="shared" ref="N42" si="42">SUM(N33:N41)</f>
        <v>12220</v>
      </c>
      <c r="O42" s="130">
        <f t="shared" ref="O42" si="43">SUM(O33:O41)</f>
        <v>13533</v>
      </c>
      <c r="P42" s="130">
        <f t="shared" ref="P42" si="44">SUM(P33:P41)</f>
        <v>5699</v>
      </c>
      <c r="Q42" s="130">
        <f t="shared" ref="Q42" si="45">SUM(Q33:Q41)</f>
        <v>12355</v>
      </c>
      <c r="R42" s="130">
        <f>SUM(F42:Q42)</f>
        <v>207225</v>
      </c>
      <c r="S42" s="130">
        <f>SUM(S33:S39)+S41</f>
        <v>205025</v>
      </c>
      <c r="T42" s="117"/>
      <c r="U42" s="117"/>
      <c r="V42" s="117"/>
      <c r="W42" s="117"/>
      <c r="X42" s="117"/>
      <c r="Y42" s="117"/>
      <c r="Z42" s="117"/>
      <c r="AA42" s="117"/>
      <c r="AB42" s="117"/>
      <c r="AC42" s="117"/>
    </row>
    <row r="43" spans="1:29" ht="15.75" customHeight="1" thickBot="1">
      <c r="A43" s="105"/>
      <c r="B43" s="131" t="s">
        <v>34</v>
      </c>
      <c r="C43" s="111" t="s">
        <v>149</v>
      </c>
      <c r="D43" s="112" t="s">
        <v>150</v>
      </c>
      <c r="E43" s="132">
        <v>91617</v>
      </c>
      <c r="F43" s="114">
        <v>14050</v>
      </c>
      <c r="G43" s="114">
        <v>15065</v>
      </c>
      <c r="H43" s="114">
        <v>23200</v>
      </c>
      <c r="I43" s="114">
        <v>11850</v>
      </c>
      <c r="J43" s="114">
        <v>1500</v>
      </c>
      <c r="K43" s="114">
        <v>0</v>
      </c>
      <c r="L43" s="114">
        <v>1000</v>
      </c>
      <c r="M43" s="114">
        <v>4787</v>
      </c>
      <c r="N43" s="114">
        <v>0</v>
      </c>
      <c r="O43" s="114">
        <v>7750</v>
      </c>
      <c r="P43" s="114">
        <v>7415</v>
      </c>
      <c r="Q43" s="114">
        <v>5000</v>
      </c>
      <c r="R43" s="137">
        <f t="shared" ref="R43:R50" si="46">SUM(F43:Q43)</f>
        <v>91617</v>
      </c>
      <c r="S43" s="137">
        <v>91617</v>
      </c>
      <c r="T43" s="138">
        <f>R43/$R$52</f>
        <v>0.43969054600776514</v>
      </c>
      <c r="U43" s="117"/>
      <c r="V43" s="117"/>
      <c r="W43" s="117"/>
      <c r="X43" s="117"/>
      <c r="Y43" s="117"/>
      <c r="Z43" s="117"/>
      <c r="AA43" s="117"/>
      <c r="AB43" s="117"/>
      <c r="AC43" s="117"/>
    </row>
    <row r="44" spans="1:29" ht="15.75" customHeight="1" thickBot="1">
      <c r="A44" s="105"/>
      <c r="C44" s="119" t="s">
        <v>149</v>
      </c>
      <c r="D44" s="120" t="s">
        <v>151</v>
      </c>
      <c r="E44" s="132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5">
        <v>0</v>
      </c>
      <c r="M44" s="115">
        <v>0</v>
      </c>
      <c r="N44" s="115">
        <v>0</v>
      </c>
      <c r="O44" s="115">
        <v>0</v>
      </c>
      <c r="P44" s="115">
        <v>0</v>
      </c>
      <c r="Q44" s="116">
        <v>0</v>
      </c>
      <c r="R44" s="137">
        <f t="shared" si="46"/>
        <v>0</v>
      </c>
      <c r="S44" s="137">
        <v>0</v>
      </c>
      <c r="T44" s="138">
        <f t="shared" ref="T44:T51" si="47">R44/$R$52</f>
        <v>0</v>
      </c>
      <c r="U44" s="117"/>
      <c r="V44" s="117"/>
      <c r="W44" s="117"/>
      <c r="X44" s="117"/>
      <c r="Y44" s="117"/>
      <c r="Z44" s="117"/>
      <c r="AA44" s="117"/>
      <c r="AB44" s="117"/>
      <c r="AC44" s="117"/>
    </row>
    <row r="45" spans="1:29" ht="15.75" customHeight="1" thickBot="1">
      <c r="A45" s="105"/>
      <c r="C45" s="121" t="s">
        <v>152</v>
      </c>
      <c r="D45" s="122" t="s">
        <v>150</v>
      </c>
      <c r="E45" s="132">
        <v>27102</v>
      </c>
      <c r="F45" s="114">
        <v>7650</v>
      </c>
      <c r="G45" s="114">
        <v>1850</v>
      </c>
      <c r="H45" s="114">
        <v>3150</v>
      </c>
      <c r="I45" s="114">
        <v>3000</v>
      </c>
      <c r="J45" s="114">
        <v>0</v>
      </c>
      <c r="K45" s="114">
        <v>0</v>
      </c>
      <c r="L45" s="115">
        <v>1000</v>
      </c>
      <c r="M45" s="115">
        <v>1677</v>
      </c>
      <c r="N45" s="115">
        <v>0</v>
      </c>
      <c r="O45" s="115">
        <v>2500</v>
      </c>
      <c r="P45" s="115">
        <v>3375</v>
      </c>
      <c r="Q45" s="116">
        <v>2900</v>
      </c>
      <c r="R45" s="137">
        <f t="shared" si="46"/>
        <v>27102</v>
      </c>
      <c r="S45" s="137">
        <v>27102</v>
      </c>
      <c r="T45" s="138">
        <f t="shared" si="47"/>
        <v>0.13006858091732376</v>
      </c>
      <c r="U45" s="117"/>
      <c r="V45" s="117"/>
      <c r="W45" s="117"/>
      <c r="X45" s="117"/>
      <c r="Y45" s="117"/>
      <c r="Z45" s="117"/>
      <c r="AA45" s="117"/>
      <c r="AB45" s="117"/>
      <c r="AC45" s="117"/>
    </row>
    <row r="46" spans="1:29" ht="15.75" customHeight="1" thickBot="1">
      <c r="A46" s="105"/>
      <c r="C46" s="121" t="s">
        <v>152</v>
      </c>
      <c r="D46" s="120" t="s">
        <v>153</v>
      </c>
      <c r="E46" s="132">
        <v>25873</v>
      </c>
      <c r="F46" s="114">
        <v>1075</v>
      </c>
      <c r="G46" s="114">
        <v>1400</v>
      </c>
      <c r="H46" s="114">
        <v>6125</v>
      </c>
      <c r="I46" s="114">
        <v>2350</v>
      </c>
      <c r="J46" s="114">
        <v>1200</v>
      </c>
      <c r="K46" s="114">
        <v>0</v>
      </c>
      <c r="L46" s="115">
        <v>0</v>
      </c>
      <c r="M46" s="115">
        <v>376</v>
      </c>
      <c r="N46" s="115">
        <v>0</v>
      </c>
      <c r="O46" s="115">
        <v>0</v>
      </c>
      <c r="P46" s="115">
        <v>2627</v>
      </c>
      <c r="Q46" s="116">
        <v>10720</v>
      </c>
      <c r="R46" s="137">
        <f t="shared" si="46"/>
        <v>25873</v>
      </c>
      <c r="S46" s="137">
        <v>25873</v>
      </c>
      <c r="T46" s="138">
        <f t="shared" si="47"/>
        <v>0.12417033407401364</v>
      </c>
      <c r="U46" s="117"/>
      <c r="V46" s="117"/>
      <c r="W46" s="117"/>
      <c r="X46" s="117"/>
      <c r="Y46" s="117"/>
      <c r="Z46" s="117"/>
      <c r="AA46" s="117"/>
      <c r="AB46" s="117"/>
      <c r="AC46" s="117"/>
    </row>
    <row r="47" spans="1:29" ht="15.75" customHeight="1" thickBot="1">
      <c r="A47" s="105"/>
      <c r="C47" s="121" t="s">
        <v>154</v>
      </c>
      <c r="D47" s="122" t="s">
        <v>150</v>
      </c>
      <c r="E47" s="132">
        <v>17975</v>
      </c>
      <c r="F47" s="114">
        <v>190</v>
      </c>
      <c r="G47" s="114">
        <v>3000</v>
      </c>
      <c r="H47" s="114">
        <v>6500</v>
      </c>
      <c r="I47" s="114">
        <v>1500</v>
      </c>
      <c r="J47" s="114">
        <v>0</v>
      </c>
      <c r="K47" s="114">
        <v>0</v>
      </c>
      <c r="L47" s="115">
        <v>3000</v>
      </c>
      <c r="M47" s="115">
        <v>447</v>
      </c>
      <c r="N47" s="115">
        <v>0</v>
      </c>
      <c r="O47" s="115">
        <v>190</v>
      </c>
      <c r="P47" s="115">
        <v>1898</v>
      </c>
      <c r="Q47" s="116">
        <v>1250</v>
      </c>
      <c r="R47" s="137">
        <f t="shared" si="46"/>
        <v>17975</v>
      </c>
      <c r="S47" s="137">
        <v>17975</v>
      </c>
      <c r="T47" s="138">
        <f t="shared" si="47"/>
        <v>8.6266059404800186E-2</v>
      </c>
      <c r="U47" s="117"/>
      <c r="V47" s="117"/>
      <c r="W47" s="117"/>
      <c r="X47" s="117"/>
      <c r="Y47" s="117"/>
      <c r="Z47" s="117"/>
      <c r="AA47" s="117"/>
      <c r="AB47" s="117"/>
      <c r="AC47" s="117"/>
    </row>
    <row r="48" spans="1:29" ht="15.75" customHeight="1" thickBot="1">
      <c r="A48" s="105"/>
      <c r="B48" s="105"/>
      <c r="C48" s="121" t="s">
        <v>154</v>
      </c>
      <c r="D48" s="123" t="s">
        <v>155</v>
      </c>
      <c r="E48" s="132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5">
        <v>0</v>
      </c>
      <c r="M48" s="115">
        <v>0</v>
      </c>
      <c r="N48" s="115">
        <v>0</v>
      </c>
      <c r="O48" s="115">
        <v>0</v>
      </c>
      <c r="P48" s="115">
        <v>0</v>
      </c>
      <c r="Q48" s="116">
        <v>0</v>
      </c>
      <c r="R48" s="137">
        <f t="shared" si="46"/>
        <v>0</v>
      </c>
      <c r="S48" s="137">
        <v>0</v>
      </c>
      <c r="T48" s="138">
        <f t="shared" si="47"/>
        <v>0</v>
      </c>
      <c r="U48" s="117"/>
      <c r="V48" s="117"/>
      <c r="W48" s="117"/>
      <c r="X48" s="117"/>
      <c r="Y48" s="117"/>
      <c r="Z48" s="117"/>
      <c r="AA48" s="117"/>
      <c r="AB48" s="117"/>
      <c r="AC48" s="117"/>
    </row>
    <row r="49" spans="1:29" ht="15.75" customHeight="1" thickBot="1">
      <c r="A49" s="105"/>
      <c r="B49" s="105"/>
      <c r="C49" s="121" t="s">
        <v>154</v>
      </c>
      <c r="D49" s="124" t="s">
        <v>156</v>
      </c>
      <c r="E49" s="132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5">
        <v>0</v>
      </c>
      <c r="M49" s="115">
        <v>0</v>
      </c>
      <c r="N49" s="115">
        <v>0</v>
      </c>
      <c r="O49" s="115">
        <v>0</v>
      </c>
      <c r="P49" s="115">
        <v>0</v>
      </c>
      <c r="Q49" s="116">
        <v>0</v>
      </c>
      <c r="R49" s="137">
        <f t="shared" si="46"/>
        <v>0</v>
      </c>
      <c r="S49" s="137">
        <v>0</v>
      </c>
      <c r="T49" s="138">
        <f t="shared" si="47"/>
        <v>0</v>
      </c>
      <c r="U49" s="117"/>
      <c r="V49" s="117"/>
      <c r="W49" s="117"/>
      <c r="X49" s="117"/>
      <c r="Y49" s="117"/>
      <c r="Z49" s="117"/>
      <c r="AA49" s="117"/>
      <c r="AB49" s="117"/>
      <c r="AC49" s="117"/>
    </row>
    <row r="50" spans="1:29" ht="15.75" customHeight="1" thickBot="1">
      <c r="A50" s="105"/>
      <c r="B50" s="105"/>
      <c r="C50" s="119" t="s">
        <v>157</v>
      </c>
      <c r="D50" s="127" t="s">
        <v>158</v>
      </c>
      <c r="E50" s="132">
        <v>7000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5">
        <v>0</v>
      </c>
      <c r="M50" s="115">
        <v>0</v>
      </c>
      <c r="N50" s="115">
        <v>0</v>
      </c>
      <c r="O50" s="115">
        <v>0</v>
      </c>
      <c r="P50" s="115">
        <v>0</v>
      </c>
      <c r="Q50" s="116">
        <v>7000</v>
      </c>
      <c r="R50" s="137">
        <f t="shared" si="46"/>
        <v>7000</v>
      </c>
      <c r="S50" s="137">
        <v>7000</v>
      </c>
      <c r="T50" s="138">
        <f t="shared" si="47"/>
        <v>3.3594571117307445E-2</v>
      </c>
      <c r="U50" s="117"/>
      <c r="V50" s="117"/>
      <c r="W50" s="117"/>
      <c r="X50" s="117"/>
      <c r="Y50" s="117"/>
      <c r="Z50" s="117"/>
      <c r="AA50" s="117"/>
      <c r="AB50" s="117"/>
      <c r="AC50" s="117"/>
    </row>
    <row r="51" spans="1:29" ht="15.75" customHeight="1" thickBot="1">
      <c r="A51" s="105"/>
      <c r="B51" s="105"/>
      <c r="C51" s="126" t="s">
        <v>159</v>
      </c>
      <c r="D51" s="127" t="s">
        <v>159</v>
      </c>
      <c r="E51" s="132">
        <v>38800</v>
      </c>
      <c r="F51" s="114">
        <v>3775</v>
      </c>
      <c r="G51" s="114">
        <v>3490</v>
      </c>
      <c r="H51" s="114">
        <v>7500</v>
      </c>
      <c r="I51" s="114">
        <v>9365</v>
      </c>
      <c r="J51" s="114">
        <v>750</v>
      </c>
      <c r="K51" s="114">
        <v>0</v>
      </c>
      <c r="L51" s="128">
        <v>50</v>
      </c>
      <c r="M51" s="128">
        <v>4200</v>
      </c>
      <c r="N51" s="128">
        <v>0</v>
      </c>
      <c r="O51" s="128">
        <v>5225</v>
      </c>
      <c r="P51" s="128">
        <v>4155</v>
      </c>
      <c r="Q51" s="129">
        <v>290</v>
      </c>
      <c r="R51" s="137">
        <f>SUM(F51:Q51)</f>
        <v>38800</v>
      </c>
      <c r="S51" s="137">
        <v>38800</v>
      </c>
      <c r="T51" s="138">
        <f t="shared" si="47"/>
        <v>0.18620990847878982</v>
      </c>
      <c r="U51" s="117"/>
      <c r="V51" s="117"/>
      <c r="W51" s="117"/>
      <c r="X51" s="117"/>
      <c r="Y51" s="117"/>
      <c r="Z51" s="117"/>
      <c r="AA51" s="117"/>
      <c r="AB51" s="117"/>
      <c r="AC51" s="117"/>
    </row>
    <row r="52" spans="1:29" ht="15.75" customHeight="1" thickBot="1">
      <c r="A52" s="105"/>
      <c r="C52" s="105"/>
      <c r="D52" s="117"/>
      <c r="E52" s="117"/>
      <c r="F52" s="130">
        <f>SUM(F43:F51)</f>
        <v>26740</v>
      </c>
      <c r="G52" s="130">
        <f t="shared" ref="G52" si="48">SUM(G43:G51)</f>
        <v>24805</v>
      </c>
      <c r="H52" s="130">
        <f t="shared" ref="H52" si="49">SUM(H43:H51)</f>
        <v>46475</v>
      </c>
      <c r="I52" s="130">
        <f t="shared" ref="I52" si="50">SUM(I43:I51)</f>
        <v>28065</v>
      </c>
      <c r="J52" s="130">
        <f t="shared" ref="J52" si="51">SUM(J43:J51)</f>
        <v>3450</v>
      </c>
      <c r="K52" s="130">
        <f t="shared" ref="K52" si="52">SUM(K43:K51)</f>
        <v>0</v>
      </c>
      <c r="L52" s="130">
        <f t="shared" ref="L52" si="53">SUM(L43:L51)</f>
        <v>5050</v>
      </c>
      <c r="M52" s="130">
        <f t="shared" ref="M52" si="54">SUM(M43:M51)</f>
        <v>11487</v>
      </c>
      <c r="N52" s="130">
        <f t="shared" ref="N52" si="55">SUM(N43:N51)</f>
        <v>0</v>
      </c>
      <c r="O52" s="130">
        <f t="shared" ref="O52" si="56">SUM(O43:O51)</f>
        <v>15665</v>
      </c>
      <c r="P52" s="130">
        <f t="shared" ref="P52" si="57">SUM(P43:P51)</f>
        <v>19470</v>
      </c>
      <c r="Q52" s="130">
        <f t="shared" ref="Q52" si="58">SUM(Q43:Q51)</f>
        <v>27160</v>
      </c>
      <c r="R52" s="130">
        <f>SUM(F52:Q52)</f>
        <v>208367</v>
      </c>
      <c r="S52" s="130">
        <f>SUM(S43:S49)+S51</f>
        <v>201367</v>
      </c>
      <c r="T52" s="117"/>
      <c r="U52" s="117"/>
      <c r="V52" s="117"/>
      <c r="W52" s="117"/>
      <c r="X52" s="117"/>
      <c r="Y52" s="117"/>
      <c r="Z52" s="117"/>
      <c r="AA52" s="117"/>
      <c r="AB52" s="117"/>
      <c r="AC52" s="117"/>
    </row>
    <row r="53" spans="1:29" ht="15.75" customHeight="1" thickBot="1">
      <c r="A53" s="105"/>
      <c r="B53" s="131" t="s">
        <v>40</v>
      </c>
      <c r="C53" s="111" t="s">
        <v>149</v>
      </c>
      <c r="D53" s="112" t="s">
        <v>150</v>
      </c>
      <c r="E53" s="132">
        <v>54084</v>
      </c>
      <c r="F53" s="114">
        <v>7000</v>
      </c>
      <c r="G53" s="114">
        <v>7250</v>
      </c>
      <c r="H53" s="114">
        <v>0</v>
      </c>
      <c r="I53" s="114">
        <v>1000</v>
      </c>
      <c r="J53" s="114">
        <v>0</v>
      </c>
      <c r="K53" s="114">
        <v>0</v>
      </c>
      <c r="L53" s="114">
        <v>0</v>
      </c>
      <c r="M53" s="114">
        <v>8400</v>
      </c>
      <c r="N53" s="114">
        <v>6000</v>
      </c>
      <c r="O53" s="114">
        <v>7592</v>
      </c>
      <c r="P53" s="114">
        <v>7482</v>
      </c>
      <c r="Q53" s="114">
        <v>9360</v>
      </c>
      <c r="R53" s="137">
        <f t="shared" ref="R53:R60" si="59">SUM(F53:Q53)</f>
        <v>54084</v>
      </c>
      <c r="S53" s="137">
        <v>54084</v>
      </c>
      <c r="T53" s="138">
        <f>R53/$R$62</f>
        <v>0.18260887181184035</v>
      </c>
      <c r="U53" s="117"/>
      <c r="V53" s="117"/>
      <c r="W53" s="117"/>
      <c r="X53" s="117"/>
      <c r="Y53" s="117"/>
      <c r="Z53" s="117"/>
      <c r="AA53" s="117"/>
      <c r="AB53" s="117"/>
      <c r="AC53" s="117"/>
    </row>
    <row r="54" spans="1:29" ht="15.75" customHeight="1" thickBot="1">
      <c r="A54" s="105"/>
      <c r="C54" s="119" t="s">
        <v>149</v>
      </c>
      <c r="D54" s="120" t="s">
        <v>151</v>
      </c>
      <c r="E54" s="132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6">
        <v>0</v>
      </c>
      <c r="R54" s="137">
        <f t="shared" si="59"/>
        <v>0</v>
      </c>
      <c r="S54" s="137">
        <v>0</v>
      </c>
      <c r="T54" s="138">
        <f t="shared" ref="T54:T61" si="60">R54/$R$62</f>
        <v>0</v>
      </c>
      <c r="U54" s="117"/>
      <c r="V54" s="117"/>
      <c r="W54" s="117"/>
      <c r="X54" s="117"/>
      <c r="Y54" s="117"/>
      <c r="Z54" s="117"/>
      <c r="AA54" s="117"/>
      <c r="AB54" s="117"/>
      <c r="AC54" s="117"/>
    </row>
    <row r="55" spans="1:29" ht="15.75" customHeight="1" thickBot="1">
      <c r="A55" s="105"/>
      <c r="C55" s="121" t="s">
        <v>152</v>
      </c>
      <c r="D55" s="122" t="s">
        <v>150</v>
      </c>
      <c r="E55" s="132">
        <v>87606</v>
      </c>
      <c r="F55" s="114">
        <v>6450</v>
      </c>
      <c r="G55" s="114">
        <v>9100</v>
      </c>
      <c r="H55" s="114">
        <v>3550</v>
      </c>
      <c r="I55" s="114">
        <v>2100</v>
      </c>
      <c r="J55" s="114">
        <v>6100</v>
      </c>
      <c r="K55" s="114">
        <v>5400</v>
      </c>
      <c r="L55" s="115">
        <v>6650</v>
      </c>
      <c r="M55" s="115">
        <v>6825</v>
      </c>
      <c r="N55" s="115">
        <v>8925</v>
      </c>
      <c r="O55" s="115">
        <v>12711</v>
      </c>
      <c r="P55" s="115">
        <v>9603</v>
      </c>
      <c r="Q55" s="116">
        <v>10192</v>
      </c>
      <c r="R55" s="137">
        <f t="shared" si="59"/>
        <v>87606</v>
      </c>
      <c r="S55" s="137">
        <v>87606</v>
      </c>
      <c r="T55" s="138">
        <f t="shared" si="60"/>
        <v>0.29579233828762824</v>
      </c>
      <c r="U55" s="117"/>
      <c r="V55" s="117"/>
      <c r="W55" s="117"/>
      <c r="X55" s="117"/>
      <c r="Y55" s="117"/>
      <c r="Z55" s="117"/>
      <c r="AA55" s="117"/>
      <c r="AB55" s="117"/>
      <c r="AC55" s="117"/>
    </row>
    <row r="56" spans="1:29" ht="15.75" customHeight="1" thickBot="1">
      <c r="A56" s="105"/>
      <c r="C56" s="121" t="s">
        <v>152</v>
      </c>
      <c r="D56" s="120" t="s">
        <v>153</v>
      </c>
      <c r="E56" s="132">
        <v>66848</v>
      </c>
      <c r="F56" s="114">
        <v>4775</v>
      </c>
      <c r="G56" s="114">
        <v>4050</v>
      </c>
      <c r="H56" s="114">
        <v>4300</v>
      </c>
      <c r="I56" s="114">
        <v>2830</v>
      </c>
      <c r="J56" s="114">
        <v>5165</v>
      </c>
      <c r="K56" s="114">
        <v>7600</v>
      </c>
      <c r="L56" s="115">
        <v>9915</v>
      </c>
      <c r="M56" s="115">
        <v>6691</v>
      </c>
      <c r="N56" s="115">
        <v>4610</v>
      </c>
      <c r="O56" s="115">
        <v>4717</v>
      </c>
      <c r="P56" s="115">
        <v>5380</v>
      </c>
      <c r="Q56" s="116">
        <v>6815</v>
      </c>
      <c r="R56" s="137">
        <f t="shared" si="59"/>
        <v>66848</v>
      </c>
      <c r="S56" s="137">
        <v>66848</v>
      </c>
      <c r="T56" s="138">
        <f t="shared" si="60"/>
        <v>0.2257051598047094</v>
      </c>
      <c r="U56" s="117"/>
      <c r="V56" s="117"/>
      <c r="W56" s="117"/>
      <c r="X56" s="117"/>
      <c r="Y56" s="117"/>
      <c r="Z56" s="117"/>
      <c r="AA56" s="117"/>
      <c r="AB56" s="117"/>
      <c r="AC56" s="117"/>
    </row>
    <row r="57" spans="1:29" ht="15.75" customHeight="1" thickBot="1">
      <c r="A57" s="105"/>
      <c r="B57" s="105"/>
      <c r="C57" s="121" t="s">
        <v>154</v>
      </c>
      <c r="D57" s="122" t="s">
        <v>150</v>
      </c>
      <c r="E57" s="132">
        <v>67230</v>
      </c>
      <c r="F57" s="114">
        <v>3350</v>
      </c>
      <c r="G57" s="114">
        <v>4350</v>
      </c>
      <c r="H57" s="114">
        <v>1600</v>
      </c>
      <c r="I57" s="114">
        <v>0</v>
      </c>
      <c r="J57" s="114">
        <v>1100</v>
      </c>
      <c r="K57" s="114">
        <v>250</v>
      </c>
      <c r="L57" s="115">
        <v>4100</v>
      </c>
      <c r="M57" s="115">
        <v>17400</v>
      </c>
      <c r="N57" s="115">
        <v>12375</v>
      </c>
      <c r="O57" s="115">
        <v>6833</v>
      </c>
      <c r="P57" s="115">
        <v>12594</v>
      </c>
      <c r="Q57" s="116">
        <v>3278</v>
      </c>
      <c r="R57" s="137">
        <f t="shared" si="59"/>
        <v>67230</v>
      </c>
      <c r="S57" s="137">
        <v>67230</v>
      </c>
      <c r="T57" s="138">
        <f t="shared" si="60"/>
        <v>0.22699494216237753</v>
      </c>
      <c r="U57" s="117"/>
      <c r="V57" s="117"/>
      <c r="W57" s="117"/>
      <c r="X57" s="117"/>
      <c r="Y57" s="117"/>
      <c r="Z57" s="117"/>
      <c r="AA57" s="117"/>
      <c r="AB57" s="117"/>
      <c r="AC57" s="117"/>
    </row>
    <row r="58" spans="1:29" ht="15.75" customHeight="1" thickBot="1">
      <c r="A58" s="105"/>
      <c r="B58" s="105"/>
      <c r="C58" s="121" t="s">
        <v>154</v>
      </c>
      <c r="D58" s="123" t="s">
        <v>155</v>
      </c>
      <c r="E58" s="132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5">
        <v>0</v>
      </c>
      <c r="M58" s="115">
        <v>0</v>
      </c>
      <c r="N58" s="115">
        <v>0</v>
      </c>
      <c r="O58" s="115">
        <v>0</v>
      </c>
      <c r="P58" s="115">
        <v>0</v>
      </c>
      <c r="Q58" s="116">
        <v>0</v>
      </c>
      <c r="R58" s="137">
        <f t="shared" si="59"/>
        <v>0</v>
      </c>
      <c r="S58" s="137">
        <v>0</v>
      </c>
      <c r="T58" s="138">
        <f t="shared" si="60"/>
        <v>0</v>
      </c>
      <c r="U58" s="117"/>
      <c r="V58" s="117"/>
      <c r="W58" s="117"/>
      <c r="X58" s="117"/>
      <c r="Y58" s="117"/>
      <c r="Z58" s="117"/>
      <c r="AA58" s="117"/>
      <c r="AB58" s="117"/>
      <c r="AC58" s="117"/>
    </row>
    <row r="59" spans="1:29" ht="15.75" customHeight="1" thickBot="1">
      <c r="A59" s="105"/>
      <c r="B59" s="105"/>
      <c r="C59" s="121" t="s">
        <v>154</v>
      </c>
      <c r="D59" s="124" t="s">
        <v>156</v>
      </c>
      <c r="E59" s="132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5">
        <v>0</v>
      </c>
      <c r="M59" s="115">
        <v>0</v>
      </c>
      <c r="N59" s="115">
        <v>0</v>
      </c>
      <c r="O59" s="115">
        <v>0</v>
      </c>
      <c r="P59" s="115">
        <v>0</v>
      </c>
      <c r="Q59" s="116">
        <v>0</v>
      </c>
      <c r="R59" s="137">
        <f t="shared" si="59"/>
        <v>0</v>
      </c>
      <c r="S59" s="137">
        <v>0</v>
      </c>
      <c r="T59" s="138">
        <f t="shared" si="60"/>
        <v>0</v>
      </c>
      <c r="U59" s="117"/>
      <c r="V59" s="117"/>
      <c r="W59" s="117"/>
      <c r="X59" s="117"/>
      <c r="Y59" s="117"/>
      <c r="Z59" s="117"/>
      <c r="AA59" s="117"/>
      <c r="AB59" s="117"/>
      <c r="AC59" s="117"/>
    </row>
    <row r="60" spans="1:29" ht="15.75" customHeight="1" thickBot="1">
      <c r="A60" s="105"/>
      <c r="B60" s="105"/>
      <c r="C60" s="119" t="s">
        <v>157</v>
      </c>
      <c r="D60" s="127" t="s">
        <v>158</v>
      </c>
      <c r="E60" s="132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5">
        <v>0</v>
      </c>
      <c r="M60" s="115">
        <v>0</v>
      </c>
      <c r="N60" s="115">
        <v>0</v>
      </c>
      <c r="O60" s="115">
        <v>0</v>
      </c>
      <c r="P60" s="115">
        <v>0</v>
      </c>
      <c r="Q60" s="116">
        <v>0</v>
      </c>
      <c r="R60" s="137">
        <f t="shared" si="59"/>
        <v>0</v>
      </c>
      <c r="S60" s="137">
        <v>0</v>
      </c>
      <c r="T60" s="138">
        <f t="shared" si="60"/>
        <v>0</v>
      </c>
      <c r="U60" s="117"/>
      <c r="V60" s="117"/>
      <c r="W60" s="117"/>
      <c r="X60" s="117"/>
      <c r="Y60" s="117"/>
      <c r="Z60" s="117"/>
      <c r="AA60" s="117"/>
      <c r="AB60" s="117"/>
      <c r="AC60" s="117"/>
    </row>
    <row r="61" spans="1:29" ht="15.75" customHeight="1" thickBot="1">
      <c r="A61" s="105"/>
      <c r="B61" s="105"/>
      <c r="C61" s="126" t="s">
        <v>159</v>
      </c>
      <c r="D61" s="127" t="s">
        <v>159</v>
      </c>
      <c r="E61" s="132">
        <v>20406</v>
      </c>
      <c r="F61" s="114">
        <v>2275</v>
      </c>
      <c r="G61" s="114">
        <v>350</v>
      </c>
      <c r="H61" s="114">
        <v>700</v>
      </c>
      <c r="I61" s="114">
        <v>0</v>
      </c>
      <c r="J61" s="114">
        <v>1350</v>
      </c>
      <c r="K61" s="114">
        <v>9300</v>
      </c>
      <c r="L61" s="128">
        <v>450</v>
      </c>
      <c r="M61" s="128">
        <v>2136</v>
      </c>
      <c r="N61" s="128">
        <v>2324</v>
      </c>
      <c r="O61" s="128">
        <v>1023</v>
      </c>
      <c r="P61" s="128">
        <v>498</v>
      </c>
      <c r="Q61" s="129">
        <v>0</v>
      </c>
      <c r="R61" s="137">
        <f>SUM(F61:Q61)</f>
        <v>20406</v>
      </c>
      <c r="S61" s="137">
        <v>20406</v>
      </c>
      <c r="T61" s="138">
        <f t="shared" si="60"/>
        <v>6.889868793344453E-2</v>
      </c>
      <c r="U61" s="117"/>
      <c r="V61" s="117"/>
      <c r="W61" s="117"/>
      <c r="X61" s="117"/>
      <c r="Y61" s="117"/>
      <c r="Z61" s="117"/>
      <c r="AA61" s="117"/>
      <c r="AB61" s="117"/>
      <c r="AC61" s="117"/>
    </row>
    <row r="62" spans="1:29" ht="15.75" customHeight="1" thickBot="1">
      <c r="A62" s="105"/>
      <c r="B62" s="105"/>
      <c r="C62" s="105"/>
      <c r="D62" s="117"/>
      <c r="E62" s="117"/>
      <c r="F62" s="130">
        <f>SUM(F53:F61)</f>
        <v>23850</v>
      </c>
      <c r="G62" s="130">
        <f t="shared" ref="G62" si="61">SUM(G53:G61)</f>
        <v>25100</v>
      </c>
      <c r="H62" s="130">
        <f t="shared" ref="H62" si="62">SUM(H53:H61)</f>
        <v>10150</v>
      </c>
      <c r="I62" s="130">
        <f t="shared" ref="I62" si="63">SUM(I53:I61)</f>
        <v>5930</v>
      </c>
      <c r="J62" s="130">
        <f t="shared" ref="J62" si="64">SUM(J53:J61)</f>
        <v>13715</v>
      </c>
      <c r="K62" s="130">
        <f t="shared" ref="K62" si="65">SUM(K53:K61)</f>
        <v>22550</v>
      </c>
      <c r="L62" s="130">
        <f t="shared" ref="L62" si="66">SUM(L53:L61)</f>
        <v>21115</v>
      </c>
      <c r="M62" s="130">
        <f t="shared" ref="M62" si="67">SUM(M53:M61)</f>
        <v>41452</v>
      </c>
      <c r="N62" s="130">
        <f t="shared" ref="N62" si="68">SUM(N53:N61)</f>
        <v>34234</v>
      </c>
      <c r="O62" s="130">
        <f t="shared" ref="O62" si="69">SUM(O53:O61)</f>
        <v>32876</v>
      </c>
      <c r="P62" s="130">
        <f t="shared" ref="P62" si="70">SUM(P53:P61)</f>
        <v>35557</v>
      </c>
      <c r="Q62" s="130">
        <f t="shared" ref="Q62" si="71">SUM(Q53:Q61)</f>
        <v>29645</v>
      </c>
      <c r="R62" s="130">
        <f>SUM(F62:Q62)</f>
        <v>296174</v>
      </c>
      <c r="S62" s="130">
        <f>SUM(S53:S59)+S61</f>
        <v>296174</v>
      </c>
      <c r="T62" s="117"/>
      <c r="U62" s="117"/>
      <c r="V62" s="117"/>
      <c r="W62" s="117"/>
      <c r="X62" s="117"/>
      <c r="Y62" s="117"/>
      <c r="Z62" s="117"/>
      <c r="AA62" s="117"/>
      <c r="AB62" s="117"/>
      <c r="AC62" s="117"/>
    </row>
    <row r="63" spans="1:29" ht="15.75" customHeight="1" thickBot="1">
      <c r="A63" s="105"/>
      <c r="B63" s="131" t="s">
        <v>46</v>
      </c>
      <c r="C63" s="111" t="s">
        <v>149</v>
      </c>
      <c r="D63" s="112" t="s">
        <v>150</v>
      </c>
      <c r="E63" s="132">
        <v>194144</v>
      </c>
      <c r="F63" s="114">
        <v>24000</v>
      </c>
      <c r="G63" s="114">
        <v>20500</v>
      </c>
      <c r="H63" s="114">
        <v>25500</v>
      </c>
      <c r="I63" s="114">
        <v>25100</v>
      </c>
      <c r="J63" s="114">
        <v>26000</v>
      </c>
      <c r="K63" s="114">
        <v>24000</v>
      </c>
      <c r="L63" s="114">
        <v>4000</v>
      </c>
      <c r="M63" s="114">
        <v>42044</v>
      </c>
      <c r="N63" s="114">
        <v>0</v>
      </c>
      <c r="O63" s="114">
        <v>0</v>
      </c>
      <c r="P63" s="114">
        <v>0</v>
      </c>
      <c r="Q63" s="114">
        <v>3000</v>
      </c>
      <c r="R63" s="137">
        <f t="shared" ref="R63:R70" si="72">SUM(F63:Q63)</f>
        <v>194144</v>
      </c>
      <c r="S63" s="137">
        <v>194144</v>
      </c>
      <c r="T63" s="138">
        <f>R63/$R$72</f>
        <v>0.31307084988905515</v>
      </c>
      <c r="U63" s="117"/>
      <c r="V63" s="117"/>
      <c r="W63" s="117"/>
      <c r="X63" s="117"/>
      <c r="Y63" s="117"/>
      <c r="Z63" s="117"/>
      <c r="AA63" s="117"/>
      <c r="AB63" s="117"/>
      <c r="AC63" s="117"/>
    </row>
    <row r="64" spans="1:29" ht="15.75" customHeight="1" thickBot="1">
      <c r="A64" s="105"/>
      <c r="C64" s="119" t="s">
        <v>149</v>
      </c>
      <c r="D64" s="120" t="s">
        <v>151</v>
      </c>
      <c r="E64" s="132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6">
        <v>0</v>
      </c>
      <c r="R64" s="137">
        <f t="shared" si="72"/>
        <v>0</v>
      </c>
      <c r="S64" s="137">
        <v>0</v>
      </c>
      <c r="T64" s="138">
        <f t="shared" ref="T64:T70" si="73">R64/$R$72</f>
        <v>0</v>
      </c>
      <c r="U64" s="117"/>
      <c r="V64" s="117"/>
      <c r="W64" s="117"/>
      <c r="X64" s="117"/>
      <c r="Y64" s="117"/>
      <c r="Z64" s="117"/>
      <c r="AA64" s="117"/>
      <c r="AB64" s="117"/>
      <c r="AC64" s="117"/>
    </row>
    <row r="65" spans="1:29" ht="15.75" customHeight="1" thickBot="1">
      <c r="A65" s="105"/>
      <c r="C65" s="121" t="s">
        <v>152</v>
      </c>
      <c r="D65" s="122" t="s">
        <v>150</v>
      </c>
      <c r="E65" s="132">
        <v>89909</v>
      </c>
      <c r="F65" s="114">
        <v>20500</v>
      </c>
      <c r="G65" s="114">
        <v>9825</v>
      </c>
      <c r="H65" s="114">
        <v>21300</v>
      </c>
      <c r="I65" s="114">
        <v>10535</v>
      </c>
      <c r="J65" s="114">
        <v>7000</v>
      </c>
      <c r="K65" s="114">
        <v>6000</v>
      </c>
      <c r="L65" s="115">
        <v>1000</v>
      </c>
      <c r="M65" s="115">
        <v>12249</v>
      </c>
      <c r="N65" s="115">
        <v>0</v>
      </c>
      <c r="O65" s="115">
        <v>0</v>
      </c>
      <c r="P65" s="115">
        <v>0</v>
      </c>
      <c r="Q65" s="116">
        <v>1500</v>
      </c>
      <c r="R65" s="137">
        <f t="shared" si="72"/>
        <v>89909</v>
      </c>
      <c r="S65" s="137">
        <v>89909</v>
      </c>
      <c r="T65" s="138">
        <f t="shared" si="73"/>
        <v>0.1449845838278549</v>
      </c>
      <c r="U65" s="117"/>
      <c r="V65" s="117"/>
      <c r="W65" s="117"/>
      <c r="X65" s="117"/>
      <c r="Y65" s="117"/>
      <c r="Z65" s="117"/>
      <c r="AA65" s="117"/>
      <c r="AB65" s="117"/>
      <c r="AC65" s="117"/>
    </row>
    <row r="66" spans="1:29" ht="15.75" customHeight="1" thickBot="1">
      <c r="A66" s="105"/>
      <c r="B66" s="105"/>
      <c r="C66" s="121" t="s">
        <v>152</v>
      </c>
      <c r="D66" s="120" t="s">
        <v>153</v>
      </c>
      <c r="E66" s="132">
        <v>67295</v>
      </c>
      <c r="F66" s="114">
        <v>5375</v>
      </c>
      <c r="G66" s="114">
        <v>4100</v>
      </c>
      <c r="H66" s="114">
        <v>13030</v>
      </c>
      <c r="I66" s="114">
        <v>5175</v>
      </c>
      <c r="J66" s="114">
        <v>10000</v>
      </c>
      <c r="K66" s="114">
        <v>14000</v>
      </c>
      <c r="L66" s="115">
        <v>1000</v>
      </c>
      <c r="M66" s="115">
        <v>8715</v>
      </c>
      <c r="N66" s="115">
        <v>0</v>
      </c>
      <c r="O66" s="115">
        <v>0</v>
      </c>
      <c r="P66" s="115">
        <v>0</v>
      </c>
      <c r="Q66" s="116">
        <v>5900</v>
      </c>
      <c r="R66" s="137">
        <f t="shared" si="72"/>
        <v>67295</v>
      </c>
      <c r="S66" s="137">
        <v>67295</v>
      </c>
      <c r="T66" s="138">
        <f t="shared" si="73"/>
        <v>0.10851791888126322</v>
      </c>
      <c r="U66" s="117"/>
      <c r="V66" s="117"/>
      <c r="W66" s="117"/>
      <c r="X66" s="117"/>
      <c r="Y66" s="117"/>
      <c r="Z66" s="117"/>
      <c r="AA66" s="117"/>
      <c r="AB66" s="117"/>
      <c r="AC66" s="117"/>
    </row>
    <row r="67" spans="1:29" ht="15.75" customHeight="1" thickBot="1">
      <c r="A67" s="105"/>
      <c r="B67" s="105"/>
      <c r="C67" s="121" t="s">
        <v>154</v>
      </c>
      <c r="D67" s="122" t="s">
        <v>150</v>
      </c>
      <c r="E67" s="132">
        <v>108400</v>
      </c>
      <c r="F67" s="114">
        <v>11500</v>
      </c>
      <c r="G67" s="114">
        <v>13920</v>
      </c>
      <c r="H67" s="114">
        <v>1000</v>
      </c>
      <c r="I67" s="114">
        <v>12875</v>
      </c>
      <c r="J67" s="114">
        <v>24350</v>
      </c>
      <c r="K67" s="114">
        <v>33400</v>
      </c>
      <c r="L67" s="115">
        <v>7000</v>
      </c>
      <c r="M67" s="115">
        <v>4355</v>
      </c>
      <c r="N67" s="115">
        <v>0</v>
      </c>
      <c r="O67" s="115">
        <v>0</v>
      </c>
      <c r="P67" s="115">
        <v>0</v>
      </c>
      <c r="Q67" s="116">
        <v>0</v>
      </c>
      <c r="R67" s="137">
        <f t="shared" si="72"/>
        <v>108400</v>
      </c>
      <c r="S67" s="137">
        <v>108400</v>
      </c>
      <c r="T67" s="138">
        <f t="shared" si="73"/>
        <v>0.17480262139429278</v>
      </c>
      <c r="U67" s="117"/>
      <c r="V67" s="117"/>
      <c r="W67" s="117"/>
      <c r="X67" s="117"/>
      <c r="Y67" s="117"/>
      <c r="Z67" s="117"/>
      <c r="AA67" s="117"/>
      <c r="AB67" s="117"/>
      <c r="AC67" s="117"/>
    </row>
    <row r="68" spans="1:29" ht="15.75" customHeight="1" thickBot="1">
      <c r="A68" s="105"/>
      <c r="B68" s="105"/>
      <c r="C68" s="121" t="s">
        <v>154</v>
      </c>
      <c r="D68" s="123" t="s">
        <v>155</v>
      </c>
      <c r="E68" s="132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6">
        <v>0</v>
      </c>
      <c r="R68" s="137">
        <f t="shared" si="72"/>
        <v>0</v>
      </c>
      <c r="S68" s="137">
        <v>0</v>
      </c>
      <c r="T68" s="138">
        <f t="shared" si="73"/>
        <v>0</v>
      </c>
      <c r="U68" s="117"/>
      <c r="V68" s="117"/>
      <c r="W68" s="117"/>
      <c r="X68" s="117"/>
      <c r="Y68" s="117"/>
      <c r="Z68" s="117"/>
      <c r="AA68" s="117"/>
      <c r="AB68" s="117"/>
      <c r="AC68" s="117"/>
    </row>
    <row r="69" spans="1:29" ht="15.75" customHeight="1" thickBot="1">
      <c r="A69" s="105"/>
      <c r="B69" s="105"/>
      <c r="C69" s="121" t="s">
        <v>154</v>
      </c>
      <c r="D69" s="124" t="s">
        <v>156</v>
      </c>
      <c r="E69" s="132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5">
        <v>0</v>
      </c>
      <c r="M69" s="115">
        <v>0</v>
      </c>
      <c r="N69" s="115">
        <v>0</v>
      </c>
      <c r="O69" s="115">
        <v>0</v>
      </c>
      <c r="P69" s="115">
        <v>0</v>
      </c>
      <c r="Q69" s="116">
        <v>0</v>
      </c>
      <c r="R69" s="137">
        <f t="shared" si="72"/>
        <v>0</v>
      </c>
      <c r="S69" s="137">
        <v>0</v>
      </c>
      <c r="T69" s="138">
        <f t="shared" si="73"/>
        <v>0</v>
      </c>
      <c r="U69" s="117"/>
      <c r="V69" s="117"/>
      <c r="W69" s="117"/>
      <c r="X69" s="117"/>
      <c r="Y69" s="117"/>
      <c r="Z69" s="117"/>
      <c r="AA69" s="117"/>
      <c r="AB69" s="117"/>
      <c r="AC69" s="117"/>
    </row>
    <row r="70" spans="1:29" ht="15.75" customHeight="1" thickBot="1">
      <c r="A70" s="105"/>
      <c r="B70" s="105"/>
      <c r="C70" s="119" t="s">
        <v>157</v>
      </c>
      <c r="D70" s="127" t="s">
        <v>158</v>
      </c>
      <c r="E70" s="132">
        <v>83870</v>
      </c>
      <c r="F70" s="114">
        <v>21300</v>
      </c>
      <c r="G70" s="114">
        <v>4400</v>
      </c>
      <c r="H70" s="114">
        <v>8975</v>
      </c>
      <c r="I70" s="114">
        <v>17430</v>
      </c>
      <c r="J70" s="114">
        <v>19650</v>
      </c>
      <c r="K70" s="114">
        <v>8900</v>
      </c>
      <c r="L70" s="115">
        <v>1790</v>
      </c>
      <c r="M70" s="115">
        <v>0</v>
      </c>
      <c r="N70" s="115">
        <v>0</v>
      </c>
      <c r="O70" s="115">
        <v>0</v>
      </c>
      <c r="P70" s="115">
        <v>0</v>
      </c>
      <c r="Q70" s="116">
        <v>1425</v>
      </c>
      <c r="R70" s="137">
        <f t="shared" si="72"/>
        <v>83870</v>
      </c>
      <c r="S70" s="137">
        <v>83870</v>
      </c>
      <c r="T70" s="138">
        <f t="shared" si="73"/>
        <v>0.13524627173744774</v>
      </c>
      <c r="U70" s="117"/>
      <c r="V70" s="117"/>
      <c r="W70" s="117"/>
      <c r="X70" s="117"/>
      <c r="Y70" s="117"/>
      <c r="Z70" s="117"/>
      <c r="AA70" s="117"/>
      <c r="AB70" s="117"/>
      <c r="AC70" s="117"/>
    </row>
    <row r="71" spans="1:29" ht="15.75" customHeight="1" thickBot="1">
      <c r="A71" s="105"/>
      <c r="B71" s="105"/>
      <c r="C71" s="126" t="s">
        <v>159</v>
      </c>
      <c r="D71" s="127" t="s">
        <v>159</v>
      </c>
      <c r="E71" s="132">
        <v>76510</v>
      </c>
      <c r="F71" s="114">
        <v>2775</v>
      </c>
      <c r="G71" s="114">
        <v>3610</v>
      </c>
      <c r="H71" s="114">
        <v>3920</v>
      </c>
      <c r="I71" s="114">
        <v>18305</v>
      </c>
      <c r="J71" s="114">
        <v>15725</v>
      </c>
      <c r="K71" s="114">
        <v>13470</v>
      </c>
      <c r="L71" s="128">
        <v>350</v>
      </c>
      <c r="M71" s="128">
        <v>13715</v>
      </c>
      <c r="N71" s="128">
        <v>0</v>
      </c>
      <c r="O71" s="128">
        <v>0</v>
      </c>
      <c r="P71" s="128">
        <v>0</v>
      </c>
      <c r="Q71" s="129">
        <v>4640</v>
      </c>
      <c r="R71" s="137">
        <f>SUM(F71:Q71)</f>
        <v>76510</v>
      </c>
      <c r="S71" s="137">
        <v>76510</v>
      </c>
      <c r="T71" s="138">
        <f>R71/$R$72</f>
        <v>0.12337775427008618</v>
      </c>
      <c r="U71" s="117"/>
      <c r="V71" s="117"/>
      <c r="W71" s="117"/>
      <c r="X71" s="117"/>
      <c r="Y71" s="117"/>
      <c r="Z71" s="117"/>
      <c r="AA71" s="117"/>
      <c r="AB71" s="117"/>
      <c r="AC71" s="117"/>
    </row>
    <row r="72" spans="1:29" ht="15.75" customHeight="1" thickBot="1">
      <c r="A72" s="105"/>
      <c r="B72" s="105"/>
      <c r="C72" s="105"/>
      <c r="D72" s="117"/>
      <c r="E72" s="117"/>
      <c r="F72" s="130">
        <f>SUM(F63:F71)</f>
        <v>85450</v>
      </c>
      <c r="G72" s="130">
        <f t="shared" ref="G72" si="74">SUM(G63:G71)</f>
        <v>56355</v>
      </c>
      <c r="H72" s="130">
        <f t="shared" ref="H72" si="75">SUM(H63:H71)</f>
        <v>73725</v>
      </c>
      <c r="I72" s="130">
        <f t="shared" ref="I72" si="76">SUM(I63:I71)</f>
        <v>89420</v>
      </c>
      <c r="J72" s="130">
        <f t="shared" ref="J72" si="77">SUM(J63:J71)</f>
        <v>102725</v>
      </c>
      <c r="K72" s="130">
        <f t="shared" ref="K72" si="78">SUM(K63:K71)</f>
        <v>99770</v>
      </c>
      <c r="L72" s="130">
        <f t="shared" ref="L72" si="79">SUM(L63:L71)</f>
        <v>15140</v>
      </c>
      <c r="M72" s="130">
        <f t="shared" ref="M72" si="80">SUM(M63:M71)</f>
        <v>81078</v>
      </c>
      <c r="N72" s="130">
        <f t="shared" ref="N72" si="81">SUM(N63:N71)</f>
        <v>0</v>
      </c>
      <c r="O72" s="130">
        <f t="shared" ref="O72" si="82">SUM(O63:O71)</f>
        <v>0</v>
      </c>
      <c r="P72" s="130">
        <f t="shared" ref="P72" si="83">SUM(P63:P71)</f>
        <v>0</v>
      </c>
      <c r="Q72" s="130">
        <f t="shared" ref="Q72" si="84">SUM(Q63:Q71)</f>
        <v>16465</v>
      </c>
      <c r="R72" s="130">
        <f>SUM(F72:Q72)</f>
        <v>620128</v>
      </c>
      <c r="S72" s="130">
        <v>620128</v>
      </c>
      <c r="T72" s="117"/>
      <c r="U72" s="117"/>
      <c r="V72" s="117"/>
      <c r="W72" s="117"/>
      <c r="X72" s="117"/>
      <c r="Y72" s="117"/>
      <c r="Z72" s="117"/>
      <c r="AA72" s="117"/>
      <c r="AB72" s="117"/>
      <c r="AC72" s="117"/>
    </row>
    <row r="73" spans="1:29" ht="15.75" customHeight="1" thickBot="1">
      <c r="A73" s="105"/>
      <c r="B73" s="131" t="s">
        <v>53</v>
      </c>
      <c r="C73" s="111" t="s">
        <v>149</v>
      </c>
      <c r="D73" s="112" t="s">
        <v>150</v>
      </c>
      <c r="E73" s="132">
        <v>56716</v>
      </c>
      <c r="F73" s="114">
        <v>9550</v>
      </c>
      <c r="G73" s="114">
        <v>7750</v>
      </c>
      <c r="H73" s="114">
        <v>9250</v>
      </c>
      <c r="I73" s="114">
        <v>5250</v>
      </c>
      <c r="J73" s="114">
        <v>8250</v>
      </c>
      <c r="K73" s="114">
        <v>5750</v>
      </c>
      <c r="L73" s="114">
        <v>4750</v>
      </c>
      <c r="M73" s="114">
        <v>0</v>
      </c>
      <c r="N73" s="114">
        <v>761</v>
      </c>
      <c r="O73" s="114">
        <v>378</v>
      </c>
      <c r="P73" s="114">
        <v>3677</v>
      </c>
      <c r="Q73" s="114">
        <v>1350</v>
      </c>
      <c r="R73" s="137">
        <f t="shared" ref="R73:R80" si="85">SUM(F73:Q73)</f>
        <v>56716</v>
      </c>
      <c r="S73" s="137">
        <v>56716</v>
      </c>
      <c r="T73" s="138">
        <f>R73/$R$82</f>
        <v>0.23344817225014303</v>
      </c>
      <c r="U73" s="117"/>
      <c r="V73" s="117"/>
      <c r="W73" s="117"/>
      <c r="X73" s="117"/>
      <c r="Y73" s="117"/>
      <c r="Z73" s="117"/>
      <c r="AA73" s="117"/>
      <c r="AB73" s="117"/>
      <c r="AC73" s="117"/>
    </row>
    <row r="74" spans="1:29" ht="15.75" customHeight="1" thickBot="1">
      <c r="A74" s="105"/>
      <c r="B74" s="131"/>
      <c r="C74" s="119" t="s">
        <v>149</v>
      </c>
      <c r="D74" s="120" t="s">
        <v>151</v>
      </c>
      <c r="E74" s="132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5">
        <v>0</v>
      </c>
      <c r="M74" s="115">
        <v>0</v>
      </c>
      <c r="N74" s="115">
        <v>0</v>
      </c>
      <c r="O74" s="115">
        <v>0</v>
      </c>
      <c r="P74" s="115">
        <v>0</v>
      </c>
      <c r="Q74" s="116">
        <v>0</v>
      </c>
      <c r="R74" s="137">
        <f t="shared" si="85"/>
        <v>0</v>
      </c>
      <c r="S74" s="137">
        <v>0</v>
      </c>
      <c r="T74" s="138">
        <f t="shared" ref="T74:T81" si="86">R74/$R$82</f>
        <v>0</v>
      </c>
      <c r="U74" s="117"/>
      <c r="V74" s="117"/>
      <c r="W74" s="117"/>
      <c r="X74" s="117"/>
      <c r="Y74" s="117"/>
      <c r="Z74" s="117"/>
      <c r="AA74" s="117"/>
      <c r="AB74" s="117"/>
      <c r="AC74" s="117"/>
    </row>
    <row r="75" spans="1:29" ht="15.75" customHeight="1" thickBot="1">
      <c r="A75" s="105"/>
      <c r="B75" s="105"/>
      <c r="C75" s="121" t="s">
        <v>152</v>
      </c>
      <c r="D75" s="122" t="s">
        <v>150</v>
      </c>
      <c r="E75" s="132">
        <v>99227</v>
      </c>
      <c r="F75" s="114">
        <v>13350</v>
      </c>
      <c r="G75" s="114">
        <v>9250</v>
      </c>
      <c r="H75" s="114">
        <v>11750</v>
      </c>
      <c r="I75" s="114">
        <v>11500</v>
      </c>
      <c r="J75" s="114">
        <v>11000</v>
      </c>
      <c r="K75" s="114">
        <v>8000</v>
      </c>
      <c r="L75" s="115">
        <v>0</v>
      </c>
      <c r="M75" s="115">
        <v>9144</v>
      </c>
      <c r="N75" s="115">
        <v>8382</v>
      </c>
      <c r="O75" s="115">
        <v>6300</v>
      </c>
      <c r="P75" s="115">
        <v>5451</v>
      </c>
      <c r="Q75" s="116">
        <v>5100</v>
      </c>
      <c r="R75" s="137">
        <f t="shared" si="85"/>
        <v>99227</v>
      </c>
      <c r="S75" s="137">
        <v>99227</v>
      </c>
      <c r="T75" s="138">
        <f t="shared" si="86"/>
        <v>0.40842728309233622</v>
      </c>
      <c r="U75" s="117"/>
      <c r="V75" s="117"/>
      <c r="W75" s="117"/>
      <c r="X75" s="117"/>
      <c r="Y75" s="117"/>
      <c r="Z75" s="117"/>
      <c r="AA75" s="117"/>
      <c r="AB75" s="117"/>
      <c r="AC75" s="117"/>
    </row>
    <row r="76" spans="1:29" ht="15.75" customHeight="1" thickBot="1">
      <c r="A76" s="105"/>
      <c r="B76" s="105"/>
      <c r="C76" s="121" t="s">
        <v>152</v>
      </c>
      <c r="D76" s="120" t="s">
        <v>153</v>
      </c>
      <c r="E76" s="132">
        <v>47244</v>
      </c>
      <c r="F76" s="114">
        <v>5975</v>
      </c>
      <c r="G76" s="114">
        <v>10440</v>
      </c>
      <c r="H76" s="114">
        <v>6280</v>
      </c>
      <c r="I76" s="114">
        <v>4300</v>
      </c>
      <c r="J76" s="114">
        <v>2000</v>
      </c>
      <c r="K76" s="114">
        <v>3850</v>
      </c>
      <c r="L76" s="115">
        <v>0</v>
      </c>
      <c r="M76" s="115">
        <v>0</v>
      </c>
      <c r="N76" s="115">
        <v>6100</v>
      </c>
      <c r="O76" s="115">
        <v>3246</v>
      </c>
      <c r="P76" s="115">
        <v>2903</v>
      </c>
      <c r="Q76" s="116">
        <v>2150</v>
      </c>
      <c r="R76" s="137">
        <f t="shared" si="85"/>
        <v>47244</v>
      </c>
      <c r="S76" s="137">
        <v>47244</v>
      </c>
      <c r="T76" s="138">
        <f t="shared" si="86"/>
        <v>0.19446056579776003</v>
      </c>
      <c r="U76" s="117"/>
      <c r="V76" s="117"/>
      <c r="W76" s="117"/>
      <c r="X76" s="117"/>
      <c r="Y76" s="117"/>
      <c r="Z76" s="117"/>
      <c r="AA76" s="117"/>
      <c r="AB76" s="117"/>
      <c r="AC76" s="117"/>
    </row>
    <row r="77" spans="1:29" ht="15.75" customHeight="1" thickBot="1">
      <c r="A77" s="105"/>
      <c r="B77" s="105"/>
      <c r="C77" s="121" t="s">
        <v>154</v>
      </c>
      <c r="D77" s="122" t="s">
        <v>150</v>
      </c>
      <c r="E77" s="132">
        <v>10053</v>
      </c>
      <c r="F77" s="114">
        <v>0</v>
      </c>
      <c r="G77" s="114">
        <v>0</v>
      </c>
      <c r="H77" s="114">
        <v>1500</v>
      </c>
      <c r="I77" s="114">
        <v>700</v>
      </c>
      <c r="J77" s="114">
        <v>1500</v>
      </c>
      <c r="K77" s="114">
        <v>1250</v>
      </c>
      <c r="L77" s="115">
        <v>500</v>
      </c>
      <c r="M77" s="115">
        <v>1525</v>
      </c>
      <c r="N77" s="115">
        <v>2479</v>
      </c>
      <c r="O77" s="115">
        <v>599</v>
      </c>
      <c r="P77" s="115">
        <v>0</v>
      </c>
      <c r="Q77" s="116">
        <v>0</v>
      </c>
      <c r="R77" s="137">
        <f t="shared" si="85"/>
        <v>10053</v>
      </c>
      <c r="S77" s="137">
        <v>10053</v>
      </c>
      <c r="T77" s="138">
        <f t="shared" si="86"/>
        <v>4.1379054863366384E-2</v>
      </c>
      <c r="U77" s="117"/>
      <c r="V77" s="117"/>
      <c r="W77" s="117"/>
      <c r="X77" s="117"/>
      <c r="Y77" s="117"/>
      <c r="Z77" s="117"/>
      <c r="AA77" s="117"/>
      <c r="AB77" s="117"/>
      <c r="AC77" s="117"/>
    </row>
    <row r="78" spans="1:29" ht="15.75" customHeight="1" thickBot="1">
      <c r="A78" s="105"/>
      <c r="B78" s="105"/>
      <c r="C78" s="121" t="s">
        <v>154</v>
      </c>
      <c r="D78" s="123" t="s">
        <v>155</v>
      </c>
      <c r="E78" s="132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5">
        <v>0</v>
      </c>
      <c r="M78" s="115">
        <v>0</v>
      </c>
      <c r="N78" s="115">
        <v>0</v>
      </c>
      <c r="O78" s="115">
        <v>0</v>
      </c>
      <c r="P78" s="115">
        <v>0</v>
      </c>
      <c r="Q78" s="116">
        <v>0</v>
      </c>
      <c r="R78" s="137">
        <f t="shared" si="85"/>
        <v>0</v>
      </c>
      <c r="S78" s="137">
        <v>0</v>
      </c>
      <c r="T78" s="138">
        <f t="shared" si="86"/>
        <v>0</v>
      </c>
      <c r="U78" s="117"/>
      <c r="V78" s="117"/>
      <c r="W78" s="117"/>
      <c r="X78" s="117"/>
      <c r="Y78" s="117"/>
      <c r="Z78" s="117"/>
      <c r="AA78" s="117"/>
      <c r="AB78" s="117"/>
      <c r="AC78" s="117"/>
    </row>
    <row r="79" spans="1:29" ht="15.75" customHeight="1" thickBot="1">
      <c r="A79" s="105"/>
      <c r="B79" s="105"/>
      <c r="C79" s="121" t="s">
        <v>154</v>
      </c>
      <c r="D79" s="124" t="s">
        <v>156</v>
      </c>
      <c r="E79" s="132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5">
        <v>0</v>
      </c>
      <c r="M79" s="115">
        <v>0</v>
      </c>
      <c r="N79" s="115">
        <v>0</v>
      </c>
      <c r="O79" s="115">
        <v>0</v>
      </c>
      <c r="P79" s="115">
        <v>0</v>
      </c>
      <c r="Q79" s="116">
        <v>0</v>
      </c>
      <c r="R79" s="137">
        <f t="shared" si="85"/>
        <v>0</v>
      </c>
      <c r="S79" s="137">
        <v>0</v>
      </c>
      <c r="T79" s="138">
        <f t="shared" si="86"/>
        <v>0</v>
      </c>
      <c r="U79" s="117"/>
      <c r="V79" s="117"/>
      <c r="W79" s="117"/>
      <c r="X79" s="117"/>
      <c r="Y79" s="117"/>
      <c r="Z79" s="117"/>
      <c r="AA79" s="117"/>
      <c r="AB79" s="117"/>
      <c r="AC79" s="117"/>
    </row>
    <row r="80" spans="1:29" ht="15.75" customHeight="1" thickBot="1">
      <c r="A80" s="105"/>
      <c r="B80" s="105"/>
      <c r="C80" s="119" t="s">
        <v>157</v>
      </c>
      <c r="D80" s="127" t="s">
        <v>158</v>
      </c>
      <c r="E80" s="132">
        <v>2875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5">
        <v>0</v>
      </c>
      <c r="M80" s="115">
        <v>0</v>
      </c>
      <c r="N80" s="115">
        <v>0</v>
      </c>
      <c r="O80" s="115">
        <v>0</v>
      </c>
      <c r="P80" s="115">
        <v>0</v>
      </c>
      <c r="Q80" s="116">
        <v>2875</v>
      </c>
      <c r="R80" s="137">
        <f t="shared" si="85"/>
        <v>2875</v>
      </c>
      <c r="S80" s="137">
        <v>2875</v>
      </c>
      <c r="T80" s="138">
        <f t="shared" si="86"/>
        <v>1.1833759348669886E-2</v>
      </c>
      <c r="U80" s="117"/>
      <c r="V80" s="117"/>
      <c r="W80" s="117"/>
      <c r="X80" s="117"/>
      <c r="Y80" s="117"/>
      <c r="Z80" s="117"/>
      <c r="AA80" s="117"/>
      <c r="AB80" s="117"/>
      <c r="AC80" s="117"/>
    </row>
    <row r="81" spans="1:29" ht="15.75" customHeight="1" thickBot="1">
      <c r="A81" s="105"/>
      <c r="B81" s="105"/>
      <c r="C81" s="126" t="s">
        <v>159</v>
      </c>
      <c r="D81" s="127" t="s">
        <v>159</v>
      </c>
      <c r="E81" s="132">
        <v>26834</v>
      </c>
      <c r="F81" s="114">
        <v>4560</v>
      </c>
      <c r="G81" s="114">
        <v>5955</v>
      </c>
      <c r="H81" s="114">
        <v>2250</v>
      </c>
      <c r="I81" s="114">
        <v>800</v>
      </c>
      <c r="J81" s="114">
        <v>2665</v>
      </c>
      <c r="K81" s="114">
        <v>2050</v>
      </c>
      <c r="L81" s="128">
        <v>0</v>
      </c>
      <c r="M81" s="128">
        <v>0</v>
      </c>
      <c r="N81" s="128">
        <v>0</v>
      </c>
      <c r="O81" s="128">
        <v>1738</v>
      </c>
      <c r="P81" s="128">
        <v>166</v>
      </c>
      <c r="Q81" s="129">
        <v>6650</v>
      </c>
      <c r="R81" s="137">
        <f>SUM(F81:Q81)</f>
        <v>26834</v>
      </c>
      <c r="S81" s="137">
        <v>26834</v>
      </c>
      <c r="T81" s="138">
        <f t="shared" si="86"/>
        <v>0.11045116464772442</v>
      </c>
      <c r="U81" s="117"/>
      <c r="V81" s="117"/>
      <c r="W81" s="117"/>
      <c r="X81" s="117"/>
      <c r="Y81" s="117"/>
      <c r="Z81" s="117"/>
      <c r="AA81" s="117"/>
      <c r="AB81" s="117"/>
      <c r="AC81" s="117"/>
    </row>
    <row r="82" spans="1:29" ht="15.75" customHeight="1" thickBot="1">
      <c r="A82" s="105"/>
      <c r="B82" s="105"/>
      <c r="C82" s="105"/>
      <c r="D82" s="117"/>
      <c r="E82" s="117"/>
      <c r="F82" s="130">
        <f>SUM(F73:F81)</f>
        <v>33435</v>
      </c>
      <c r="G82" s="130">
        <f t="shared" ref="G82" si="87">SUM(G73:G81)</f>
        <v>33395</v>
      </c>
      <c r="H82" s="130">
        <f t="shared" ref="H82" si="88">SUM(H73:H81)</f>
        <v>31030</v>
      </c>
      <c r="I82" s="130">
        <f t="shared" ref="I82" si="89">SUM(I73:I81)</f>
        <v>22550</v>
      </c>
      <c r="J82" s="130">
        <f t="shared" ref="J82" si="90">SUM(J73:J81)</f>
        <v>25415</v>
      </c>
      <c r="K82" s="130">
        <f t="shared" ref="K82" si="91">SUM(K73:K81)</f>
        <v>20900</v>
      </c>
      <c r="L82" s="130">
        <f t="shared" ref="L82" si="92">SUM(L73:L81)</f>
        <v>5250</v>
      </c>
      <c r="M82" s="130">
        <f t="shared" ref="M82" si="93">SUM(M73:M81)</f>
        <v>10669</v>
      </c>
      <c r="N82" s="130">
        <f t="shared" ref="N82" si="94">SUM(N73:N81)</f>
        <v>17722</v>
      </c>
      <c r="O82" s="130">
        <f t="shared" ref="O82" si="95">SUM(O73:O81)</f>
        <v>12261</v>
      </c>
      <c r="P82" s="130">
        <f t="shared" ref="P82" si="96">SUM(P73:P81)</f>
        <v>12197</v>
      </c>
      <c r="Q82" s="130">
        <f t="shared" ref="Q82" si="97">SUM(Q73:Q81)</f>
        <v>18125</v>
      </c>
      <c r="R82" s="130">
        <f>SUM(F82:Q82)</f>
        <v>242949</v>
      </c>
      <c r="S82" s="130">
        <f>SUM(S73:S79)+S81</f>
        <v>240074</v>
      </c>
      <c r="T82" s="117"/>
      <c r="U82" s="117"/>
      <c r="V82" s="117"/>
      <c r="W82" s="117"/>
      <c r="X82" s="117"/>
      <c r="Y82" s="117"/>
      <c r="Z82" s="117"/>
      <c r="AA82" s="117"/>
      <c r="AB82" s="117"/>
      <c r="AC82" s="117"/>
    </row>
    <row r="83" spans="1:29" ht="15.75" customHeight="1">
      <c r="A83" s="105"/>
      <c r="B83" s="131" t="s">
        <v>92</v>
      </c>
      <c r="C83" s="111" t="s">
        <v>149</v>
      </c>
      <c r="D83" s="112" t="s">
        <v>150</v>
      </c>
      <c r="E83" s="132">
        <v>1081541</v>
      </c>
      <c r="F83" s="132">
        <v>105400</v>
      </c>
      <c r="G83" s="132">
        <v>98765</v>
      </c>
      <c r="H83" s="132">
        <v>117350</v>
      </c>
      <c r="I83" s="132">
        <v>103200</v>
      </c>
      <c r="J83" s="132">
        <v>94450</v>
      </c>
      <c r="K83" s="132">
        <v>64200</v>
      </c>
      <c r="L83" s="132">
        <v>79679</v>
      </c>
      <c r="M83" s="132">
        <v>115530</v>
      </c>
      <c r="N83" s="132">
        <v>89546</v>
      </c>
      <c r="O83" s="132">
        <v>76712</v>
      </c>
      <c r="P83" s="132">
        <v>67259</v>
      </c>
      <c r="Q83" s="132">
        <v>69450</v>
      </c>
      <c r="R83" s="137">
        <f t="shared" ref="R83:R90" si="98">SUM(F83:Q83)</f>
        <v>1081541</v>
      </c>
      <c r="S83" s="137">
        <v>1081541</v>
      </c>
      <c r="T83" s="134">
        <v>1931.3232142857144</v>
      </c>
      <c r="U83" s="117"/>
      <c r="V83" s="117"/>
      <c r="W83" s="117"/>
      <c r="X83" s="117"/>
      <c r="Y83" s="117"/>
      <c r="Z83" s="117"/>
      <c r="AA83" s="117"/>
      <c r="AB83" s="117"/>
      <c r="AC83" s="117"/>
    </row>
    <row r="84" spans="1:29" ht="15.75" customHeight="1">
      <c r="A84" s="105"/>
      <c r="B84" s="131"/>
      <c r="C84" s="119" t="s">
        <v>149</v>
      </c>
      <c r="D84" s="120" t="s">
        <v>151</v>
      </c>
      <c r="E84" s="132">
        <v>13025</v>
      </c>
      <c r="F84" s="132">
        <v>0</v>
      </c>
      <c r="G84" s="132">
        <v>0</v>
      </c>
      <c r="H84" s="132">
        <v>0</v>
      </c>
      <c r="I84" s="132">
        <v>0</v>
      </c>
      <c r="J84" s="132">
        <v>0</v>
      </c>
      <c r="K84" s="132">
        <v>0</v>
      </c>
      <c r="L84" s="132">
        <v>6675</v>
      </c>
      <c r="M84" s="132">
        <v>6350</v>
      </c>
      <c r="N84" s="132">
        <v>0</v>
      </c>
      <c r="O84" s="132">
        <v>0</v>
      </c>
      <c r="P84" s="132">
        <v>0</v>
      </c>
      <c r="Q84" s="132">
        <v>0</v>
      </c>
      <c r="R84" s="137">
        <f t="shared" si="98"/>
        <v>13025</v>
      </c>
      <c r="S84" s="137">
        <v>13025</v>
      </c>
      <c r="T84" s="134">
        <v>23.258928571428573</v>
      </c>
      <c r="U84" s="117"/>
      <c r="V84" s="117"/>
      <c r="W84" s="117"/>
      <c r="X84" s="117"/>
      <c r="Y84" s="117"/>
      <c r="Z84" s="117"/>
      <c r="AA84" s="117"/>
      <c r="AB84" s="117"/>
      <c r="AC84" s="117"/>
    </row>
    <row r="85" spans="1:29" ht="15.75" customHeight="1">
      <c r="A85" s="105"/>
      <c r="B85" s="105"/>
      <c r="C85" s="121" t="s">
        <v>152</v>
      </c>
      <c r="D85" s="122" t="s">
        <v>150</v>
      </c>
      <c r="E85" s="132">
        <v>705614</v>
      </c>
      <c r="F85" s="132">
        <v>68920</v>
      </c>
      <c r="G85" s="132">
        <v>56580</v>
      </c>
      <c r="H85" s="132">
        <v>66590</v>
      </c>
      <c r="I85" s="132">
        <v>51035</v>
      </c>
      <c r="J85" s="132">
        <v>46655</v>
      </c>
      <c r="K85" s="132">
        <v>33855</v>
      </c>
      <c r="L85" s="132">
        <v>64250</v>
      </c>
      <c r="M85" s="132">
        <v>92956</v>
      </c>
      <c r="N85" s="132">
        <v>55964</v>
      </c>
      <c r="O85" s="132">
        <v>71042</v>
      </c>
      <c r="P85" s="132">
        <v>44243</v>
      </c>
      <c r="Q85" s="132">
        <v>53524</v>
      </c>
      <c r="R85" s="137">
        <f t="shared" si="98"/>
        <v>705614</v>
      </c>
      <c r="S85" s="137">
        <v>705614</v>
      </c>
      <c r="T85" s="134">
        <v>1260.0250000000001</v>
      </c>
      <c r="U85" s="117"/>
      <c r="V85" s="117"/>
      <c r="W85" s="117"/>
      <c r="X85" s="117"/>
      <c r="Y85" s="117"/>
      <c r="Z85" s="117"/>
      <c r="AA85" s="117"/>
      <c r="AB85" s="117"/>
      <c r="AC85" s="117"/>
    </row>
    <row r="86" spans="1:29" ht="15.75" customHeight="1">
      <c r="A86" s="105"/>
      <c r="B86" s="105"/>
      <c r="C86" s="121" t="s">
        <v>152</v>
      </c>
      <c r="D86" s="120" t="s">
        <v>153</v>
      </c>
      <c r="E86" s="132">
        <v>471039</v>
      </c>
      <c r="F86" s="132">
        <v>42745</v>
      </c>
      <c r="G86" s="132">
        <v>34190</v>
      </c>
      <c r="H86" s="132">
        <v>59120</v>
      </c>
      <c r="I86" s="132">
        <v>61490</v>
      </c>
      <c r="J86" s="132">
        <v>56165</v>
      </c>
      <c r="K86" s="132">
        <v>44950</v>
      </c>
      <c r="L86" s="132">
        <v>39715</v>
      </c>
      <c r="M86" s="132">
        <v>32695</v>
      </c>
      <c r="N86" s="132">
        <v>17868</v>
      </c>
      <c r="O86" s="132">
        <v>18829</v>
      </c>
      <c r="P86" s="132">
        <v>23396</v>
      </c>
      <c r="Q86" s="132">
        <v>39876</v>
      </c>
      <c r="R86" s="137">
        <f t="shared" si="98"/>
        <v>471039</v>
      </c>
      <c r="S86" s="137">
        <v>471039</v>
      </c>
      <c r="T86" s="134">
        <v>841.14107142857142</v>
      </c>
      <c r="U86" s="117"/>
      <c r="V86" s="117"/>
      <c r="W86" s="117"/>
      <c r="X86" s="117"/>
      <c r="Y86" s="117"/>
      <c r="Z86" s="117"/>
      <c r="AA86" s="117"/>
      <c r="AB86" s="117"/>
      <c r="AC86" s="117"/>
    </row>
    <row r="87" spans="1:29" ht="15.75" customHeight="1">
      <c r="A87" s="105"/>
      <c r="B87" s="105"/>
      <c r="C87" s="121" t="s">
        <v>154</v>
      </c>
      <c r="D87" s="122" t="s">
        <v>150</v>
      </c>
      <c r="E87" s="132">
        <v>722954</v>
      </c>
      <c r="F87" s="132">
        <v>73155</v>
      </c>
      <c r="G87" s="132">
        <v>69580</v>
      </c>
      <c r="H87" s="132">
        <v>57590</v>
      </c>
      <c r="I87" s="132">
        <v>85985</v>
      </c>
      <c r="J87" s="132">
        <v>102470</v>
      </c>
      <c r="K87" s="132">
        <v>100200</v>
      </c>
      <c r="L87" s="132">
        <v>51670</v>
      </c>
      <c r="M87" s="132">
        <v>46863</v>
      </c>
      <c r="N87" s="132">
        <v>58865</v>
      </c>
      <c r="O87" s="132">
        <v>17611</v>
      </c>
      <c r="P87" s="132">
        <v>34177</v>
      </c>
      <c r="Q87" s="132">
        <v>24788</v>
      </c>
      <c r="R87" s="137">
        <f t="shared" si="98"/>
        <v>722954</v>
      </c>
      <c r="S87" s="137">
        <v>722954</v>
      </c>
      <c r="T87" s="134">
        <v>1290.9892857142856</v>
      </c>
      <c r="U87" s="117"/>
      <c r="V87" s="117"/>
      <c r="W87" s="117"/>
      <c r="X87" s="117"/>
      <c r="Y87" s="117"/>
      <c r="Z87" s="117"/>
      <c r="AA87" s="117"/>
      <c r="AB87" s="117"/>
      <c r="AC87" s="117"/>
    </row>
    <row r="88" spans="1:29" ht="15.75" customHeight="1">
      <c r="A88" s="105"/>
      <c r="B88" s="105"/>
      <c r="C88" s="121" t="s">
        <v>154</v>
      </c>
      <c r="D88" s="123" t="s">
        <v>155</v>
      </c>
      <c r="E88" s="132">
        <v>0</v>
      </c>
      <c r="F88" s="132">
        <v>0</v>
      </c>
      <c r="G88" s="132">
        <v>0</v>
      </c>
      <c r="H88" s="132">
        <v>0</v>
      </c>
      <c r="I88" s="132">
        <v>0</v>
      </c>
      <c r="J88" s="132">
        <v>0</v>
      </c>
      <c r="K88" s="132">
        <v>0</v>
      </c>
      <c r="L88" s="132">
        <v>0</v>
      </c>
      <c r="M88" s="132">
        <v>0</v>
      </c>
      <c r="N88" s="132">
        <v>0</v>
      </c>
      <c r="O88" s="132">
        <v>0</v>
      </c>
      <c r="P88" s="132">
        <v>0</v>
      </c>
      <c r="Q88" s="132">
        <v>0</v>
      </c>
      <c r="R88" s="137">
        <f t="shared" si="98"/>
        <v>0</v>
      </c>
      <c r="S88" s="137">
        <v>0</v>
      </c>
      <c r="T88" s="134">
        <v>0</v>
      </c>
      <c r="U88" s="117"/>
      <c r="V88" s="117"/>
      <c r="W88" s="117"/>
      <c r="X88" s="117"/>
      <c r="Y88" s="117"/>
      <c r="Z88" s="117"/>
      <c r="AA88" s="117"/>
      <c r="AB88" s="117"/>
      <c r="AC88" s="117"/>
    </row>
    <row r="89" spans="1:29" ht="15.75" customHeight="1">
      <c r="A89" s="105"/>
      <c r="B89" s="105"/>
      <c r="C89" s="121" t="s">
        <v>154</v>
      </c>
      <c r="D89" s="124" t="s">
        <v>156</v>
      </c>
      <c r="E89" s="132">
        <v>0</v>
      </c>
      <c r="F89" s="132">
        <v>0</v>
      </c>
      <c r="G89" s="132">
        <v>0</v>
      </c>
      <c r="H89" s="132">
        <v>0</v>
      </c>
      <c r="I89" s="132">
        <v>0</v>
      </c>
      <c r="J89" s="132">
        <v>0</v>
      </c>
      <c r="K89" s="132">
        <v>0</v>
      </c>
      <c r="L89" s="132">
        <v>0</v>
      </c>
      <c r="M89" s="132">
        <v>0</v>
      </c>
      <c r="N89" s="132">
        <v>0</v>
      </c>
      <c r="O89" s="132">
        <v>0</v>
      </c>
      <c r="P89" s="132">
        <v>0</v>
      </c>
      <c r="Q89" s="132">
        <v>0</v>
      </c>
      <c r="R89" s="137">
        <f t="shared" si="98"/>
        <v>0</v>
      </c>
      <c r="S89" s="137">
        <v>0</v>
      </c>
      <c r="T89" s="134">
        <v>0</v>
      </c>
      <c r="U89" s="117"/>
      <c r="V89" s="117"/>
      <c r="W89" s="117"/>
      <c r="X89" s="117"/>
      <c r="Y89" s="117"/>
      <c r="Z89" s="117"/>
      <c r="AA89" s="117"/>
      <c r="AB89" s="117"/>
      <c r="AC89" s="117"/>
    </row>
    <row r="90" spans="1:29" ht="15.75" customHeight="1" thickBot="1">
      <c r="A90" s="105"/>
      <c r="B90" s="105"/>
      <c r="C90" s="119" t="s">
        <v>157</v>
      </c>
      <c r="D90" s="127" t="s">
        <v>158</v>
      </c>
      <c r="E90" s="132">
        <v>351094</v>
      </c>
      <c r="F90" s="132">
        <v>59200</v>
      </c>
      <c r="G90" s="132">
        <v>19550</v>
      </c>
      <c r="H90" s="132">
        <v>49325</v>
      </c>
      <c r="I90" s="132">
        <v>47080</v>
      </c>
      <c r="J90" s="132">
        <v>50600</v>
      </c>
      <c r="K90" s="132">
        <v>53875</v>
      </c>
      <c r="L90" s="132">
        <v>3590</v>
      </c>
      <c r="M90" s="132">
        <v>1550</v>
      </c>
      <c r="N90" s="132">
        <v>0</v>
      </c>
      <c r="O90" s="132">
        <v>8400</v>
      </c>
      <c r="P90" s="132">
        <v>23239</v>
      </c>
      <c r="Q90" s="132">
        <v>34685</v>
      </c>
      <c r="R90" s="137">
        <f t="shared" si="98"/>
        <v>351094</v>
      </c>
      <c r="S90" s="137">
        <v>351094</v>
      </c>
      <c r="T90" s="134">
        <v>626.95357142857142</v>
      </c>
      <c r="U90" s="117"/>
      <c r="V90" s="117"/>
      <c r="W90" s="117"/>
      <c r="X90" s="117"/>
      <c r="Y90" s="117"/>
      <c r="Z90" s="117"/>
      <c r="AA90" s="117"/>
      <c r="AB90" s="117"/>
      <c r="AC90" s="117"/>
    </row>
    <row r="91" spans="1:29" ht="15.75" customHeight="1" thickBot="1">
      <c r="A91" s="105"/>
      <c r="B91" s="105"/>
      <c r="C91" s="126" t="s">
        <v>159</v>
      </c>
      <c r="D91" s="127" t="s">
        <v>159</v>
      </c>
      <c r="E91" s="132">
        <v>586106</v>
      </c>
      <c r="F91" s="132">
        <v>27795</v>
      </c>
      <c r="G91" s="132">
        <v>20925</v>
      </c>
      <c r="H91" s="132">
        <v>34285</v>
      </c>
      <c r="I91" s="132">
        <v>60400</v>
      </c>
      <c r="J91" s="132">
        <v>64300</v>
      </c>
      <c r="K91" s="132">
        <v>51065</v>
      </c>
      <c r="L91" s="132">
        <v>61860</v>
      </c>
      <c r="M91" s="132">
        <v>78389</v>
      </c>
      <c r="N91" s="132">
        <v>104486</v>
      </c>
      <c r="O91" s="132">
        <v>31596</v>
      </c>
      <c r="P91" s="132">
        <v>17124</v>
      </c>
      <c r="Q91" s="132">
        <v>33881</v>
      </c>
      <c r="R91" s="137">
        <f>SUM(F91:Q91)</f>
        <v>586106</v>
      </c>
      <c r="S91" s="137">
        <f>SUM(G91:R91)</f>
        <v>1144417</v>
      </c>
      <c r="T91" s="134">
        <v>1046.6178571428572</v>
      </c>
      <c r="U91" s="117"/>
      <c r="V91" s="117"/>
      <c r="W91" s="117"/>
      <c r="X91" s="117"/>
      <c r="Y91" s="117"/>
      <c r="Z91" s="117"/>
      <c r="AA91" s="117"/>
      <c r="AB91" s="117"/>
      <c r="AC91" s="117"/>
    </row>
    <row r="92" spans="1:29" ht="15.75" customHeight="1">
      <c r="A92" s="105"/>
      <c r="B92" s="105"/>
      <c r="C92" s="105"/>
      <c r="D92" s="117"/>
      <c r="E92" s="117"/>
      <c r="F92" s="117"/>
      <c r="G92" s="133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  <c r="AA92" s="117"/>
      <c r="AB92" s="117"/>
      <c r="AC92" s="117"/>
    </row>
    <row r="93" spans="1:29" ht="15.75" customHeight="1">
      <c r="A93" s="105"/>
      <c r="B93" s="105"/>
      <c r="E93" s="105"/>
      <c r="F93" s="135">
        <v>43101</v>
      </c>
      <c r="G93" s="135">
        <v>43132</v>
      </c>
      <c r="H93" s="135">
        <v>43160</v>
      </c>
      <c r="I93" s="135">
        <v>43191</v>
      </c>
      <c r="J93" s="135">
        <v>43221</v>
      </c>
      <c r="K93" s="135">
        <v>43252</v>
      </c>
      <c r="L93" s="135">
        <v>43282</v>
      </c>
      <c r="M93" s="135">
        <v>43313</v>
      </c>
      <c r="N93" s="135">
        <v>43344</v>
      </c>
      <c r="O93" s="135">
        <v>43374</v>
      </c>
      <c r="P93" s="135">
        <v>43405</v>
      </c>
      <c r="Q93" s="135">
        <v>43435</v>
      </c>
      <c r="R93" s="117"/>
    </row>
    <row r="94" spans="1:29" ht="15.75" customHeight="1">
      <c r="A94" s="105"/>
      <c r="D94" s="105" t="s">
        <v>160</v>
      </c>
      <c r="E94" s="105" t="s">
        <v>123</v>
      </c>
      <c r="F94" s="117">
        <v>23442</v>
      </c>
      <c r="G94" s="117">
        <v>25557</v>
      </c>
      <c r="H94" s="117">
        <v>21226</v>
      </c>
      <c r="I94" s="117">
        <v>32784</v>
      </c>
      <c r="J94" s="117">
        <v>25999</v>
      </c>
      <c r="K94" s="117">
        <v>2923</v>
      </c>
      <c r="L94" s="117">
        <v>14131</v>
      </c>
      <c r="M94" s="117">
        <v>26364</v>
      </c>
      <c r="N94" s="117">
        <v>22848</v>
      </c>
      <c r="O94" s="117">
        <v>10744</v>
      </c>
      <c r="P94" s="117">
        <v>0</v>
      </c>
      <c r="Q94" s="117">
        <v>0</v>
      </c>
      <c r="R94" s="117">
        <f>SUM(F94:Q94)</f>
        <v>206018</v>
      </c>
      <c r="S94" s="106">
        <v>206018</v>
      </c>
    </row>
    <row r="95" spans="1:29" ht="15.75" customHeight="1">
      <c r="A95" s="105"/>
      <c r="B95" s="105"/>
      <c r="E95" s="105" t="s">
        <v>4</v>
      </c>
      <c r="F95" s="117">
        <v>75662</v>
      </c>
      <c r="G95" s="117">
        <v>67860</v>
      </c>
      <c r="H95" s="117">
        <v>83151</v>
      </c>
      <c r="I95" s="117">
        <v>84253</v>
      </c>
      <c r="J95" s="117">
        <v>85634</v>
      </c>
      <c r="K95" s="117">
        <v>24663</v>
      </c>
      <c r="L95" s="117">
        <v>72630</v>
      </c>
      <c r="M95" s="117">
        <v>78726</v>
      </c>
      <c r="N95" s="117">
        <v>83894</v>
      </c>
      <c r="O95" s="117">
        <v>74081</v>
      </c>
      <c r="P95" s="117">
        <v>69910</v>
      </c>
      <c r="Q95" s="117">
        <v>79029</v>
      </c>
      <c r="R95" s="117">
        <f t="shared" ref="R95:R101" si="99">SUM(F95:Q95)</f>
        <v>879493</v>
      </c>
      <c r="S95" s="106">
        <v>879493</v>
      </c>
    </row>
    <row r="96" spans="1:29" ht="15.75" customHeight="1">
      <c r="A96" s="105"/>
      <c r="B96" s="105"/>
      <c r="E96" s="105" t="s">
        <v>17</v>
      </c>
      <c r="F96" s="117">
        <v>60590</v>
      </c>
      <c r="G96" s="117">
        <v>53002</v>
      </c>
      <c r="H96" s="117">
        <v>59544</v>
      </c>
      <c r="I96" s="117">
        <v>76236</v>
      </c>
      <c r="J96" s="117">
        <v>77735</v>
      </c>
      <c r="K96" s="117">
        <v>78697</v>
      </c>
      <c r="L96" s="117">
        <v>74044</v>
      </c>
      <c r="M96" s="117">
        <v>71442</v>
      </c>
      <c r="N96" s="117">
        <v>59655</v>
      </c>
      <c r="O96" s="117">
        <v>60755</v>
      </c>
      <c r="P96" s="117">
        <v>54395</v>
      </c>
      <c r="Q96" s="117">
        <v>48315</v>
      </c>
      <c r="R96" s="117">
        <f t="shared" si="99"/>
        <v>774410</v>
      </c>
      <c r="S96" s="106">
        <v>774410</v>
      </c>
      <c r="T96" s="106">
        <f>R96/70</f>
        <v>11063</v>
      </c>
    </row>
    <row r="97" spans="1:29" ht="15.75" customHeight="1">
      <c r="A97" s="105"/>
      <c r="B97" s="105"/>
      <c r="E97" s="105" t="s">
        <v>27</v>
      </c>
      <c r="F97" s="117">
        <v>24257</v>
      </c>
      <c r="G97" s="117">
        <v>26515</v>
      </c>
      <c r="H97" s="117">
        <v>24504</v>
      </c>
      <c r="I97" s="117">
        <v>27702</v>
      </c>
      <c r="J97" s="117">
        <v>19410</v>
      </c>
      <c r="K97" s="117">
        <v>29807</v>
      </c>
      <c r="L97" s="117">
        <v>26040</v>
      </c>
      <c r="M97" s="117">
        <v>20562</v>
      </c>
      <c r="N97" s="117">
        <v>20879</v>
      </c>
      <c r="O97" s="117">
        <v>23661</v>
      </c>
      <c r="P97" s="117">
        <v>19623</v>
      </c>
      <c r="Q97" s="117">
        <v>16410</v>
      </c>
      <c r="R97" s="117">
        <f t="shared" si="99"/>
        <v>279370</v>
      </c>
      <c r="S97" s="106">
        <v>279370</v>
      </c>
    </row>
    <row r="98" spans="1:29" ht="15.75" customHeight="1">
      <c r="A98" s="105"/>
      <c r="B98" s="105"/>
      <c r="E98" s="105" t="s">
        <v>34</v>
      </c>
      <c r="F98" s="117">
        <v>23872</v>
      </c>
      <c r="G98" s="117">
        <v>22549</v>
      </c>
      <c r="H98" s="117">
        <v>29841</v>
      </c>
      <c r="I98" s="117">
        <v>24525</v>
      </c>
      <c r="J98" s="117">
        <v>6958</v>
      </c>
      <c r="K98" s="117">
        <v>14891</v>
      </c>
      <c r="L98" s="117">
        <v>0</v>
      </c>
      <c r="M98" s="117">
        <v>12147</v>
      </c>
      <c r="N98" s="117">
        <v>11556</v>
      </c>
      <c r="O98" s="117">
        <v>5987</v>
      </c>
      <c r="P98" s="117">
        <v>17315</v>
      </c>
      <c r="Q98" s="117">
        <v>13710</v>
      </c>
      <c r="R98" s="117">
        <f t="shared" si="99"/>
        <v>183351</v>
      </c>
      <c r="S98" s="106">
        <v>183351</v>
      </c>
    </row>
    <row r="99" spans="1:29" ht="15.75" customHeight="1">
      <c r="A99" s="105"/>
      <c r="B99" s="105"/>
      <c r="E99" s="105" t="s">
        <v>40</v>
      </c>
      <c r="F99" s="117">
        <v>23949</v>
      </c>
      <c r="G99" s="117">
        <v>33419</v>
      </c>
      <c r="H99" s="117">
        <v>20058</v>
      </c>
      <c r="I99" s="117">
        <v>4919</v>
      </c>
      <c r="J99" s="117">
        <v>28057</v>
      </c>
      <c r="K99" s="117">
        <v>23493</v>
      </c>
      <c r="L99" s="117">
        <v>25023</v>
      </c>
      <c r="M99" s="117">
        <v>28174</v>
      </c>
      <c r="N99" s="117">
        <v>32722</v>
      </c>
      <c r="O99" s="117">
        <v>30811</v>
      </c>
      <c r="P99" s="117">
        <v>31258</v>
      </c>
      <c r="Q99" s="117">
        <v>33772</v>
      </c>
      <c r="R99" s="117">
        <f t="shared" si="99"/>
        <v>315655</v>
      </c>
      <c r="S99" s="106">
        <v>315655</v>
      </c>
    </row>
    <row r="100" spans="1:29" ht="15.75" customHeight="1">
      <c r="A100" s="105"/>
      <c r="B100" s="105"/>
      <c r="E100" s="105" t="s">
        <v>46</v>
      </c>
      <c r="F100" s="117">
        <v>63260</v>
      </c>
      <c r="G100" s="117">
        <v>52962</v>
      </c>
      <c r="H100" s="117">
        <v>70606</v>
      </c>
      <c r="I100" s="117">
        <v>69242</v>
      </c>
      <c r="J100" s="117">
        <v>74734</v>
      </c>
      <c r="K100" s="117">
        <v>71869</v>
      </c>
      <c r="L100" s="117">
        <v>59343</v>
      </c>
      <c r="M100" s="117">
        <v>48687</v>
      </c>
      <c r="N100" s="117">
        <v>5210</v>
      </c>
      <c r="O100" s="117">
        <v>0</v>
      </c>
      <c r="P100" s="117">
        <v>0</v>
      </c>
      <c r="Q100" s="117">
        <v>8302</v>
      </c>
      <c r="R100" s="117">
        <f t="shared" si="99"/>
        <v>524215</v>
      </c>
      <c r="S100" s="106">
        <v>524215</v>
      </c>
    </row>
    <row r="101" spans="1:29" ht="15.75" customHeight="1">
      <c r="A101" s="105"/>
      <c r="B101" s="105"/>
      <c r="E101" s="105" t="s">
        <v>53</v>
      </c>
      <c r="F101" s="117">
        <v>33850</v>
      </c>
      <c r="G101" s="117">
        <v>33276</v>
      </c>
      <c r="H101" s="117">
        <v>36745</v>
      </c>
      <c r="I101" s="117">
        <v>32564</v>
      </c>
      <c r="J101" s="117">
        <v>24839</v>
      </c>
      <c r="K101" s="117">
        <v>26728</v>
      </c>
      <c r="L101" s="117">
        <v>21705</v>
      </c>
      <c r="M101" s="117">
        <v>22861</v>
      </c>
      <c r="N101" s="117">
        <v>16335</v>
      </c>
      <c r="O101" s="117">
        <v>18536</v>
      </c>
      <c r="P101" s="117">
        <v>15838</v>
      </c>
      <c r="Q101" s="117">
        <v>19053</v>
      </c>
      <c r="R101" s="117">
        <f t="shared" si="99"/>
        <v>302330</v>
      </c>
      <c r="S101" s="106">
        <v>302330</v>
      </c>
    </row>
    <row r="102" spans="1:29" ht="15.75" customHeight="1">
      <c r="A102" s="105"/>
      <c r="B102" s="105"/>
      <c r="E102" s="105" t="s">
        <v>92</v>
      </c>
      <c r="F102" s="117">
        <v>328882</v>
      </c>
      <c r="G102" s="117">
        <v>315140</v>
      </c>
      <c r="H102" s="117">
        <v>345675</v>
      </c>
      <c r="I102" s="117">
        <v>352225</v>
      </c>
      <c r="J102" s="117">
        <v>343366</v>
      </c>
      <c r="K102" s="117">
        <v>273071</v>
      </c>
      <c r="L102" s="117">
        <v>292916</v>
      </c>
      <c r="M102" s="117">
        <v>308963</v>
      </c>
      <c r="N102" s="117">
        <v>253099</v>
      </c>
      <c r="O102" s="117">
        <v>224575</v>
      </c>
      <c r="P102" s="117">
        <v>208339</v>
      </c>
      <c r="Q102" s="117">
        <v>218591</v>
      </c>
      <c r="R102" s="117"/>
    </row>
    <row r="103" spans="1:29" ht="15.75" customHeight="1">
      <c r="A103" s="105"/>
      <c r="B103" s="105"/>
    </row>
    <row r="104" spans="1:29" ht="15.75" customHeight="1">
      <c r="A104" s="105"/>
      <c r="B104" s="105"/>
      <c r="D104" s="105" t="s">
        <v>160</v>
      </c>
      <c r="E104" s="105" t="s">
        <v>123</v>
      </c>
      <c r="F104" s="136">
        <f>F12/F94</f>
        <v>0.37944714614793962</v>
      </c>
      <c r="G104" s="136">
        <f t="shared" ref="G104:Q104" si="100">G12/G94</f>
        <v>0.48910278984231326</v>
      </c>
      <c r="H104" s="136">
        <f t="shared" si="100"/>
        <v>0.7938377461603694</v>
      </c>
      <c r="I104" s="136">
        <f t="shared" si="100"/>
        <v>0.61615422157149824</v>
      </c>
      <c r="J104" s="136">
        <f t="shared" si="100"/>
        <v>0.78849186507173352</v>
      </c>
      <c r="K104" s="136">
        <f t="shared" si="100"/>
        <v>1.9671570304481696</v>
      </c>
      <c r="L104" s="136">
        <f t="shared" si="100"/>
        <v>0.66166584105866533</v>
      </c>
      <c r="M104" s="136">
        <f t="shared" si="100"/>
        <v>0.92960097102108941</v>
      </c>
      <c r="N104" s="136">
        <f t="shared" si="100"/>
        <v>0.84856442577030811</v>
      </c>
      <c r="O104" s="136">
        <f t="shared" si="100"/>
        <v>0</v>
      </c>
      <c r="P104" s="136" t="e">
        <f t="shared" si="100"/>
        <v>#DIV/0!</v>
      </c>
      <c r="Q104" s="136" t="e">
        <f t="shared" si="100"/>
        <v>#DIV/0!</v>
      </c>
      <c r="R104" s="136">
        <f t="shared" ref="R104:S104" si="101">R12/R94</f>
        <v>0.66955799978642638</v>
      </c>
      <c r="S104" s="136">
        <f t="shared" si="101"/>
        <v>0.65038491782271457</v>
      </c>
    </row>
    <row r="105" spans="1:29" ht="15.75" customHeight="1">
      <c r="A105" s="105"/>
      <c r="B105" s="105"/>
      <c r="C105" s="105"/>
      <c r="E105" s="105" t="s">
        <v>4</v>
      </c>
      <c r="F105" s="136">
        <f>F22/F95</f>
        <v>1.2225423594406704</v>
      </c>
      <c r="G105" s="136">
        <f t="shared" ref="G105:Q105" si="102">G22/G95</f>
        <v>1.1379310344827587</v>
      </c>
      <c r="H105" s="136">
        <f t="shared" si="102"/>
        <v>1.1649288643552091</v>
      </c>
      <c r="I105" s="136">
        <f t="shared" si="102"/>
        <v>1.3094489217001175</v>
      </c>
      <c r="J105" s="136">
        <f t="shared" si="102"/>
        <v>1.1615129504636008</v>
      </c>
      <c r="K105" s="136">
        <f t="shared" si="102"/>
        <v>0.83161010420467907</v>
      </c>
      <c r="L105" s="136">
        <f t="shared" si="102"/>
        <v>1.2036348616274266</v>
      </c>
      <c r="M105" s="136">
        <f t="shared" si="102"/>
        <v>0.77706221578639845</v>
      </c>
      <c r="N105" s="136">
        <f t="shared" si="102"/>
        <v>1.1072543924476124</v>
      </c>
      <c r="O105" s="136">
        <f t="shared" si="102"/>
        <v>1.2102293435563776</v>
      </c>
      <c r="P105" s="136">
        <f t="shared" si="102"/>
        <v>0.85645830353311403</v>
      </c>
      <c r="Q105" s="136">
        <f t="shared" si="102"/>
        <v>1.0766933657265054</v>
      </c>
      <c r="R105" s="136">
        <f t="shared" ref="R105:S105" si="103">R22/R95</f>
        <v>1.1063101127581458</v>
      </c>
      <c r="S105" s="136">
        <f t="shared" si="103"/>
        <v>1.018702820829728</v>
      </c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</row>
    <row r="106" spans="1:29" ht="15.75" customHeight="1">
      <c r="A106" s="105"/>
      <c r="B106" s="105"/>
      <c r="C106" s="105"/>
      <c r="E106" s="105" t="s">
        <v>17</v>
      </c>
      <c r="F106" s="136">
        <f>F32/F96</f>
        <v>1.4624525499257304</v>
      </c>
      <c r="G106" s="136">
        <f t="shared" ref="G106:Q106" si="104">G32/G96</f>
        <v>0.95015282442171989</v>
      </c>
      <c r="H106" s="136">
        <f t="shared" si="104"/>
        <v>1.585466209861615</v>
      </c>
      <c r="I106" s="136">
        <f t="shared" si="104"/>
        <v>1.4703683299228711</v>
      </c>
      <c r="J106" s="136">
        <f t="shared" si="104"/>
        <v>1.6558821637614973</v>
      </c>
      <c r="K106" s="136">
        <f t="shared" si="104"/>
        <v>1.9533781465621307</v>
      </c>
      <c r="L106" s="136">
        <f t="shared" si="104"/>
        <v>1.8870401382961481</v>
      </c>
      <c r="M106" s="136">
        <f t="shared" si="104"/>
        <v>1.7284090590968897</v>
      </c>
      <c r="N106" s="136">
        <f t="shared" si="104"/>
        <v>2.5190344480764395</v>
      </c>
      <c r="O106" s="136">
        <f t="shared" si="104"/>
        <v>0.99086494938688174</v>
      </c>
      <c r="P106" s="136">
        <f t="shared" si="104"/>
        <v>1.4089530287710268</v>
      </c>
      <c r="Q106" s="136">
        <f t="shared" si="104"/>
        <v>1.3942667908517024</v>
      </c>
      <c r="R106" s="136">
        <f t="shared" ref="R106:S106" si="105">R32/R96</f>
        <v>1.6084464301855605</v>
      </c>
      <c r="S106" s="136">
        <f t="shared" si="105"/>
        <v>1.3835668444364098</v>
      </c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</row>
    <row r="107" spans="1:29" ht="15.75" customHeight="1">
      <c r="A107" s="105"/>
      <c r="B107" s="105"/>
      <c r="C107" s="105"/>
      <c r="E107" s="105" t="s">
        <v>27</v>
      </c>
      <c r="F107" s="136">
        <f>F42/F97</f>
        <v>0.73112915859339567</v>
      </c>
      <c r="G107" s="136">
        <f t="shared" ref="G107:Q107" si="106">G42/G97</f>
        <v>0.7488214218366962</v>
      </c>
      <c r="H107" s="136">
        <f t="shared" si="106"/>
        <v>0.60235063663075417</v>
      </c>
      <c r="I107" s="136">
        <f t="shared" si="106"/>
        <v>0.74380911125550497</v>
      </c>
      <c r="J107" s="136">
        <f t="shared" si="106"/>
        <v>1.0638845955692942</v>
      </c>
      <c r="K107" s="136">
        <f t="shared" si="106"/>
        <v>0.83671620760224108</v>
      </c>
      <c r="L107" s="136">
        <f t="shared" si="106"/>
        <v>0.93663594470046085</v>
      </c>
      <c r="M107" s="136">
        <f t="shared" si="106"/>
        <v>0.99615796128781242</v>
      </c>
      <c r="N107" s="136">
        <f t="shared" si="106"/>
        <v>0.58527707265673645</v>
      </c>
      <c r="O107" s="136">
        <f t="shared" si="106"/>
        <v>0.57195384810447569</v>
      </c>
      <c r="P107" s="136">
        <f t="shared" si="106"/>
        <v>0.29042450186006219</v>
      </c>
      <c r="Q107" s="136">
        <f t="shared" si="106"/>
        <v>0.75289457647775748</v>
      </c>
      <c r="R107" s="136">
        <f t="shared" ref="R107:S107" si="107">R42/R97</f>
        <v>0.74175824175824179</v>
      </c>
      <c r="S107" s="136">
        <f t="shared" si="107"/>
        <v>0.73388338046318502</v>
      </c>
      <c r="T107" s="117"/>
      <c r="U107" s="117"/>
      <c r="V107" s="117"/>
      <c r="W107" s="117"/>
      <c r="X107" s="117"/>
      <c r="Y107" s="117"/>
      <c r="Z107" s="117"/>
      <c r="AA107" s="117"/>
      <c r="AB107" s="117"/>
      <c r="AC107" s="117"/>
    </row>
    <row r="108" spans="1:29" ht="15.75" customHeight="1">
      <c r="A108" s="105"/>
      <c r="B108" s="105"/>
      <c r="C108" s="105"/>
      <c r="E108" s="105" t="s">
        <v>34</v>
      </c>
      <c r="F108" s="136">
        <f>F52/F98</f>
        <v>1.1201407506702412</v>
      </c>
      <c r="G108" s="136">
        <f t="shared" ref="G108:Q108" si="108">G52/G98</f>
        <v>1.1000487826511154</v>
      </c>
      <c r="H108" s="136">
        <f t="shared" si="108"/>
        <v>1.5574209979558327</v>
      </c>
      <c r="I108" s="136">
        <f t="shared" si="108"/>
        <v>1.14434250764526</v>
      </c>
      <c r="J108" s="136">
        <f t="shared" si="108"/>
        <v>0.49583213567116985</v>
      </c>
      <c r="K108" s="136">
        <f t="shared" si="108"/>
        <v>0</v>
      </c>
      <c r="L108" s="136" t="e">
        <f t="shared" si="108"/>
        <v>#DIV/0!</v>
      </c>
      <c r="M108" s="136">
        <f t="shared" si="108"/>
        <v>0.94566559644356629</v>
      </c>
      <c r="N108" s="136">
        <f t="shared" si="108"/>
        <v>0</v>
      </c>
      <c r="O108" s="136">
        <f t="shared" si="108"/>
        <v>2.6165024219141473</v>
      </c>
      <c r="P108" s="136">
        <f t="shared" si="108"/>
        <v>1.1244585619405141</v>
      </c>
      <c r="Q108" s="136">
        <f t="shared" si="108"/>
        <v>1.9810357403355214</v>
      </c>
      <c r="R108" s="136">
        <f t="shared" ref="R108:S108" si="109">R52/R98</f>
        <v>1.1364377614520782</v>
      </c>
      <c r="S108" s="136">
        <f t="shared" si="109"/>
        <v>1.0982596222545828</v>
      </c>
      <c r="T108" s="117"/>
      <c r="U108" s="117"/>
      <c r="V108" s="117"/>
      <c r="W108" s="117"/>
      <c r="X108" s="117"/>
      <c r="Y108" s="117"/>
      <c r="Z108" s="117"/>
      <c r="AA108" s="117"/>
      <c r="AB108" s="117"/>
      <c r="AC108" s="117"/>
    </row>
    <row r="109" spans="1:29" ht="15.75" customHeight="1">
      <c r="A109" s="105"/>
      <c r="B109" s="105"/>
      <c r="C109" s="105"/>
      <c r="E109" s="105" t="s">
        <v>40</v>
      </c>
      <c r="F109" s="136">
        <f>F62/F99</f>
        <v>0.9958662157083803</v>
      </c>
      <c r="G109" s="136">
        <f t="shared" ref="G109:Q109" si="110">G62/G99</f>
        <v>0.75106975074059668</v>
      </c>
      <c r="H109" s="136">
        <f t="shared" si="110"/>
        <v>0.50603250573337322</v>
      </c>
      <c r="I109" s="136">
        <f t="shared" si="110"/>
        <v>1.2055295791827607</v>
      </c>
      <c r="J109" s="136">
        <f t="shared" si="110"/>
        <v>0.48882631785294223</v>
      </c>
      <c r="K109" s="136">
        <f t="shared" si="110"/>
        <v>0.95986038394415363</v>
      </c>
      <c r="L109" s="136">
        <f t="shared" si="110"/>
        <v>0.84382368221236459</v>
      </c>
      <c r="M109" s="136">
        <f t="shared" si="110"/>
        <v>1.471285582451906</v>
      </c>
      <c r="N109" s="136">
        <f t="shared" si="110"/>
        <v>1.0462074445327303</v>
      </c>
      <c r="O109" s="136">
        <f t="shared" si="110"/>
        <v>1.0670215182889229</v>
      </c>
      <c r="P109" s="136">
        <f t="shared" si="110"/>
        <v>1.137532791605349</v>
      </c>
      <c r="Q109" s="136">
        <f t="shared" si="110"/>
        <v>0.87779817600379018</v>
      </c>
      <c r="R109" s="136">
        <f t="shared" ref="R109:S109" si="111">R62/R99</f>
        <v>0.93828388588807399</v>
      </c>
      <c r="S109" s="136">
        <f t="shared" si="111"/>
        <v>0.93828388588807399</v>
      </c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</row>
    <row r="110" spans="1:29" ht="15.75" customHeight="1">
      <c r="A110" s="105"/>
      <c r="B110" s="105"/>
      <c r="C110" s="105"/>
      <c r="E110" s="105" t="s">
        <v>46</v>
      </c>
      <c r="F110" s="136">
        <f>F72/F100</f>
        <v>1.3507745810938983</v>
      </c>
      <c r="G110" s="136">
        <f t="shared" ref="G110:Q110" si="112">G72/G100</f>
        <v>1.0640648011782032</v>
      </c>
      <c r="H110" s="136">
        <f t="shared" si="112"/>
        <v>1.0441747160297992</v>
      </c>
      <c r="I110" s="136">
        <f t="shared" si="112"/>
        <v>1.2914127263799429</v>
      </c>
      <c r="J110" s="136">
        <f t="shared" si="112"/>
        <v>1.3745417079241042</v>
      </c>
      <c r="K110" s="136">
        <f t="shared" si="112"/>
        <v>1.3882202340369283</v>
      </c>
      <c r="L110" s="136">
        <f t="shared" si="112"/>
        <v>0.25512697369529685</v>
      </c>
      <c r="M110" s="136">
        <f t="shared" si="112"/>
        <v>1.6652905292994022</v>
      </c>
      <c r="N110" s="136">
        <f t="shared" si="112"/>
        <v>0</v>
      </c>
      <c r="O110" s="136" t="e">
        <f t="shared" si="112"/>
        <v>#DIV/0!</v>
      </c>
      <c r="P110" s="136" t="e">
        <f t="shared" si="112"/>
        <v>#DIV/0!</v>
      </c>
      <c r="Q110" s="136">
        <f t="shared" si="112"/>
        <v>1.9832570464948205</v>
      </c>
      <c r="R110" s="136">
        <f t="shared" ref="R110:S110" si="113">R72/R100</f>
        <v>1.182965004816726</v>
      </c>
      <c r="S110" s="136">
        <f t="shared" si="113"/>
        <v>1.182965004816726</v>
      </c>
      <c r="T110" s="117"/>
      <c r="U110" s="117"/>
      <c r="V110" s="117"/>
      <c r="W110" s="117"/>
      <c r="X110" s="117"/>
      <c r="Y110" s="117"/>
      <c r="Z110" s="117"/>
      <c r="AA110" s="117"/>
      <c r="AB110" s="117"/>
      <c r="AC110" s="117"/>
    </row>
    <row r="111" spans="1:29" ht="15.75" customHeight="1">
      <c r="A111" s="105"/>
      <c r="B111" s="105"/>
      <c r="C111" s="105"/>
      <c r="E111" s="105" t="s">
        <v>53</v>
      </c>
      <c r="F111" s="136">
        <f>F82/F101</f>
        <v>0.9877400295420975</v>
      </c>
      <c r="G111" s="136">
        <f t="shared" ref="G111:Q111" si="114">G82/G101</f>
        <v>1.003576150979685</v>
      </c>
      <c r="H111" s="136">
        <f t="shared" si="114"/>
        <v>0.84446863518846105</v>
      </c>
      <c r="I111" s="136">
        <f t="shared" si="114"/>
        <v>0.69248249600786149</v>
      </c>
      <c r="J111" s="136">
        <f t="shared" si="114"/>
        <v>1.0231893393453844</v>
      </c>
      <c r="K111" s="136">
        <f t="shared" si="114"/>
        <v>0.78195151152349596</v>
      </c>
      <c r="L111" s="136">
        <f t="shared" si="114"/>
        <v>0.24187975120939875</v>
      </c>
      <c r="M111" s="136">
        <f t="shared" si="114"/>
        <v>0.46668999606316436</v>
      </c>
      <c r="N111" s="136">
        <f t="shared" si="114"/>
        <v>1.0849097030915213</v>
      </c>
      <c r="O111" s="136">
        <f t="shared" si="114"/>
        <v>0.66146957272334916</v>
      </c>
      <c r="P111" s="136">
        <f t="shared" si="114"/>
        <v>0.77010986235635814</v>
      </c>
      <c r="Q111" s="136">
        <f t="shared" si="114"/>
        <v>0.9512937595129376</v>
      </c>
      <c r="R111" s="136">
        <f t="shared" ref="R111:S111" si="115">R82/R101</f>
        <v>0.8035887937022459</v>
      </c>
      <c r="S111" s="136">
        <f t="shared" si="115"/>
        <v>0.79407931730228554</v>
      </c>
      <c r="T111" s="117"/>
      <c r="U111" s="117"/>
      <c r="V111" s="117"/>
      <c r="W111" s="117"/>
      <c r="X111" s="117"/>
      <c r="Y111" s="117"/>
      <c r="Z111" s="117"/>
      <c r="AA111" s="117"/>
      <c r="AB111" s="117"/>
      <c r="AC111" s="117"/>
    </row>
    <row r="112" spans="1:29" ht="15.75" customHeight="1">
      <c r="A112" s="105"/>
      <c r="B112" s="105"/>
      <c r="C112" s="105"/>
      <c r="E112" s="105" t="s">
        <v>92</v>
      </c>
      <c r="F112" s="117"/>
      <c r="G112" s="133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</row>
    <row r="113" spans="1:29" ht="15.75" customHeight="1">
      <c r="A113" s="105"/>
      <c r="B113" s="105"/>
      <c r="C113" s="105"/>
      <c r="D113" s="117"/>
      <c r="E113" s="117"/>
      <c r="F113" s="117"/>
      <c r="G113" s="133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117"/>
    </row>
    <row r="114" spans="1:29" ht="15.75" customHeight="1">
      <c r="A114" s="105"/>
      <c r="B114" s="105"/>
      <c r="C114" s="105"/>
      <c r="D114" s="117"/>
      <c r="E114" s="117"/>
      <c r="F114" s="117"/>
      <c r="G114" s="133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</row>
    <row r="115" spans="1:29" ht="15.75" customHeight="1">
      <c r="A115" s="105"/>
      <c r="B115" s="105"/>
      <c r="C115" s="105"/>
      <c r="D115" s="117"/>
      <c r="E115" s="117"/>
      <c r="F115" s="117"/>
      <c r="G115" s="133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</row>
    <row r="116" spans="1:29" ht="15.75" customHeight="1">
      <c r="A116" s="105"/>
      <c r="B116" s="105"/>
      <c r="C116" s="105"/>
      <c r="D116" s="117"/>
      <c r="E116" s="117"/>
      <c r="F116" s="117"/>
      <c r="G116" s="133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</row>
    <row r="117" spans="1:29" ht="15.75" customHeight="1">
      <c r="A117" s="105"/>
      <c r="B117" s="105"/>
      <c r="C117" s="105"/>
      <c r="D117" s="117"/>
      <c r="E117" s="117"/>
      <c r="F117" s="117"/>
      <c r="G117" s="133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</row>
    <row r="118" spans="1:29" ht="15.75" customHeight="1">
      <c r="A118" s="105"/>
      <c r="B118" s="105"/>
      <c r="C118" s="105"/>
      <c r="D118" s="117"/>
      <c r="E118" s="117"/>
      <c r="F118" s="117"/>
      <c r="G118" s="133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</row>
    <row r="119" spans="1:29" ht="15.75" customHeight="1">
      <c r="A119" s="105"/>
      <c r="B119" s="105"/>
      <c r="C119" s="105"/>
      <c r="D119" s="117"/>
      <c r="E119" s="117"/>
      <c r="F119" s="117"/>
      <c r="G119" s="133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</row>
    <row r="120" spans="1:29" ht="15.75" customHeight="1">
      <c r="A120" s="105"/>
      <c r="B120" s="105"/>
      <c r="C120" s="105"/>
      <c r="D120" s="117"/>
      <c r="E120" s="117"/>
      <c r="F120" s="117"/>
      <c r="G120" s="133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</row>
    <row r="121" spans="1:29" ht="15.75" customHeight="1">
      <c r="A121" s="105"/>
      <c r="B121" s="105"/>
      <c r="C121" s="105"/>
      <c r="D121" s="117"/>
      <c r="E121" s="117"/>
      <c r="F121" s="117"/>
      <c r="G121" s="133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</row>
    <row r="122" spans="1:29" ht="15.75" customHeight="1">
      <c r="A122" s="105"/>
      <c r="B122" s="105"/>
      <c r="C122" s="105"/>
      <c r="D122" s="117"/>
      <c r="E122" s="117"/>
      <c r="F122" s="117"/>
      <c r="G122" s="133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</row>
    <row r="123" spans="1:29" ht="15.75" customHeight="1">
      <c r="A123" s="105"/>
      <c r="B123" s="105"/>
      <c r="C123" s="105"/>
      <c r="D123" s="117"/>
      <c r="E123" s="117"/>
      <c r="F123" s="117"/>
      <c r="G123" s="133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</row>
    <row r="124" spans="1:29" ht="15.75" customHeight="1">
      <c r="A124" s="105"/>
      <c r="B124" s="105"/>
      <c r="C124" s="105"/>
      <c r="D124" s="117"/>
      <c r="E124" s="117"/>
      <c r="F124" s="117"/>
      <c r="G124" s="133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</row>
    <row r="125" spans="1:29" ht="15.75" customHeight="1">
      <c r="A125" s="105"/>
      <c r="B125" s="105"/>
      <c r="C125" s="105"/>
      <c r="D125" s="117"/>
      <c r="E125" s="117"/>
      <c r="F125" s="117"/>
      <c r="G125" s="133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</row>
    <row r="126" spans="1:29" ht="15.75" customHeight="1">
      <c r="A126" s="105"/>
      <c r="B126" s="105"/>
      <c r="C126" s="105"/>
      <c r="D126" s="117"/>
      <c r="E126" s="117"/>
      <c r="F126" s="117"/>
      <c r="G126" s="133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</row>
    <row r="127" spans="1:29" ht="15.75" customHeight="1">
      <c r="A127" s="105"/>
      <c r="B127" s="105"/>
      <c r="C127" s="105"/>
      <c r="D127" s="117"/>
      <c r="E127" s="117"/>
      <c r="F127" s="117"/>
      <c r="G127" s="133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  <c r="AB127" s="117"/>
      <c r="AC127" s="117"/>
    </row>
    <row r="128" spans="1:29" ht="15.75" customHeight="1">
      <c r="A128" s="105"/>
      <c r="B128" s="105"/>
      <c r="C128" s="105"/>
      <c r="D128" s="117"/>
      <c r="E128" s="117"/>
      <c r="F128" s="117"/>
      <c r="G128" s="133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</row>
    <row r="129" spans="1:29" ht="15.75" customHeight="1">
      <c r="A129" s="105"/>
      <c r="B129" s="105"/>
      <c r="C129" s="105"/>
      <c r="D129" s="117"/>
      <c r="E129" s="117"/>
      <c r="F129" s="117"/>
      <c r="G129" s="133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</row>
    <row r="130" spans="1:29" ht="15.75" customHeight="1">
      <c r="A130" s="105"/>
      <c r="B130" s="105"/>
      <c r="C130" s="105"/>
      <c r="D130" s="117"/>
      <c r="E130" s="117"/>
      <c r="F130" s="117"/>
      <c r="G130" s="133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</row>
    <row r="131" spans="1:29" ht="15.75" customHeight="1">
      <c r="A131" s="105"/>
      <c r="B131" s="105"/>
      <c r="C131" s="105"/>
      <c r="D131" s="117"/>
      <c r="E131" s="117"/>
      <c r="F131" s="117"/>
      <c r="G131" s="133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</row>
    <row r="132" spans="1:29" ht="15.75" customHeight="1">
      <c r="A132" s="105"/>
      <c r="B132" s="105"/>
      <c r="C132" s="105"/>
      <c r="D132" s="117"/>
      <c r="E132" s="117"/>
      <c r="F132" s="117"/>
      <c r="G132" s="133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</row>
    <row r="133" spans="1:29" ht="15.75" customHeight="1">
      <c r="A133" s="105"/>
      <c r="B133" s="105"/>
      <c r="C133" s="105"/>
      <c r="D133" s="117"/>
      <c r="E133" s="117"/>
      <c r="F133" s="117"/>
      <c r="G133" s="133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</row>
    <row r="134" spans="1:29" ht="15.75" customHeight="1">
      <c r="A134" s="105"/>
      <c r="B134" s="105"/>
      <c r="C134" s="105"/>
      <c r="D134" s="117"/>
      <c r="E134" s="117"/>
      <c r="F134" s="117"/>
      <c r="G134" s="133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7"/>
    </row>
    <row r="135" spans="1:29" ht="15.75" customHeight="1">
      <c r="A135" s="105"/>
      <c r="B135" s="105"/>
      <c r="C135" s="105"/>
      <c r="D135" s="117"/>
      <c r="E135" s="117"/>
      <c r="F135" s="117"/>
      <c r="G135" s="133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  <c r="AA135" s="117"/>
      <c r="AB135" s="117"/>
      <c r="AC135" s="117"/>
    </row>
    <row r="136" spans="1:29" ht="15.75" customHeight="1">
      <c r="A136" s="105"/>
      <c r="B136" s="105"/>
      <c r="C136" s="105"/>
      <c r="D136" s="117"/>
      <c r="E136" s="117"/>
      <c r="F136" s="117"/>
      <c r="G136" s="133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  <c r="AA136" s="117"/>
      <c r="AB136" s="117"/>
      <c r="AC136" s="117"/>
    </row>
    <row r="137" spans="1:29" ht="15.75" customHeight="1">
      <c r="A137" s="105"/>
      <c r="B137" s="105"/>
      <c r="C137" s="105"/>
      <c r="D137" s="117"/>
      <c r="E137" s="117"/>
      <c r="F137" s="117"/>
      <c r="G137" s="133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</row>
    <row r="138" spans="1:29" ht="15.75" customHeight="1">
      <c r="A138" s="105"/>
      <c r="B138" s="105"/>
      <c r="C138" s="105"/>
      <c r="D138" s="117"/>
      <c r="E138" s="117"/>
      <c r="F138" s="117"/>
      <c r="G138" s="133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  <c r="AA138" s="117"/>
      <c r="AB138" s="117"/>
      <c r="AC138" s="117"/>
    </row>
    <row r="139" spans="1:29" ht="15.75" customHeight="1">
      <c r="A139" s="105"/>
      <c r="B139" s="105"/>
      <c r="C139" s="105"/>
      <c r="D139" s="117"/>
      <c r="E139" s="117"/>
      <c r="F139" s="117"/>
      <c r="G139" s="133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</row>
    <row r="140" spans="1:29" ht="15.75" customHeight="1">
      <c r="A140" s="105"/>
      <c r="B140" s="105"/>
      <c r="C140" s="105"/>
      <c r="D140" s="117"/>
      <c r="E140" s="117"/>
      <c r="F140" s="117"/>
      <c r="G140" s="133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  <c r="AA140" s="117"/>
      <c r="AB140" s="117"/>
      <c r="AC140" s="117"/>
    </row>
    <row r="141" spans="1:29" ht="15.75" customHeight="1">
      <c r="A141" s="105"/>
      <c r="B141" s="105"/>
      <c r="C141" s="105"/>
      <c r="D141" s="117"/>
      <c r="E141" s="117"/>
      <c r="F141" s="117"/>
      <c r="G141" s="133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  <c r="AA141" s="117"/>
      <c r="AB141" s="117"/>
      <c r="AC141" s="117"/>
    </row>
    <row r="142" spans="1:29" ht="15.75" customHeight="1">
      <c r="A142" s="105"/>
      <c r="B142" s="105"/>
      <c r="C142" s="105"/>
      <c r="D142" s="117"/>
      <c r="E142" s="117"/>
      <c r="F142" s="117"/>
      <c r="G142" s="133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</row>
    <row r="143" spans="1:29" ht="15.75" customHeight="1">
      <c r="A143" s="105"/>
      <c r="B143" s="105"/>
      <c r="C143" s="105"/>
      <c r="D143" s="117"/>
      <c r="E143" s="117"/>
      <c r="F143" s="117"/>
      <c r="G143" s="133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  <c r="AA143" s="117"/>
      <c r="AB143" s="117"/>
      <c r="AC143" s="117"/>
    </row>
    <row r="144" spans="1:29" ht="15.75" customHeight="1">
      <c r="A144" s="105"/>
      <c r="B144" s="105"/>
      <c r="C144" s="105"/>
      <c r="D144" s="117"/>
      <c r="E144" s="117"/>
      <c r="F144" s="117"/>
      <c r="G144" s="133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  <c r="AA144" s="117"/>
      <c r="AB144" s="117"/>
      <c r="AC144" s="117"/>
    </row>
    <row r="145" spans="1:29" ht="15.75" customHeight="1">
      <c r="A145" s="105"/>
      <c r="B145" s="105"/>
      <c r="C145" s="105"/>
      <c r="D145" s="117"/>
      <c r="E145" s="117"/>
      <c r="F145" s="117"/>
      <c r="G145" s="133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17"/>
      <c r="AC145" s="117"/>
    </row>
    <row r="146" spans="1:29" ht="15.75" customHeight="1">
      <c r="A146" s="105"/>
      <c r="B146" s="105"/>
      <c r="C146" s="105"/>
      <c r="D146" s="117"/>
      <c r="E146" s="117"/>
      <c r="F146" s="117"/>
      <c r="G146" s="133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7"/>
    </row>
    <row r="147" spans="1:29" ht="15.75" customHeight="1">
      <c r="A147" s="105"/>
      <c r="B147" s="105"/>
      <c r="C147" s="105"/>
      <c r="D147" s="117"/>
      <c r="E147" s="117"/>
      <c r="F147" s="117"/>
      <c r="G147" s="133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  <c r="AA147" s="117"/>
      <c r="AB147" s="117"/>
      <c r="AC147" s="117"/>
    </row>
    <row r="148" spans="1:29" ht="15.75" customHeight="1">
      <c r="A148" s="105"/>
      <c r="B148" s="105"/>
      <c r="C148" s="105"/>
      <c r="D148" s="117"/>
      <c r="E148" s="117"/>
      <c r="F148" s="117"/>
      <c r="G148" s="133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</row>
    <row r="149" spans="1:29" ht="15.75" customHeight="1">
      <c r="A149" s="105"/>
      <c r="B149" s="105"/>
      <c r="C149" s="105"/>
      <c r="D149" s="117"/>
      <c r="E149" s="117"/>
      <c r="F149" s="117"/>
      <c r="G149" s="133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</row>
    <row r="150" spans="1:29" ht="15.75" customHeight="1">
      <c r="A150" s="105"/>
      <c r="B150" s="105"/>
      <c r="C150" s="105"/>
      <c r="D150" s="117"/>
      <c r="E150" s="117"/>
      <c r="F150" s="117"/>
      <c r="G150" s="133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</row>
    <row r="151" spans="1:29" ht="15.75" customHeight="1">
      <c r="A151" s="105"/>
      <c r="B151" s="105"/>
      <c r="C151" s="105"/>
      <c r="D151" s="117"/>
      <c r="E151" s="117"/>
      <c r="F151" s="117"/>
      <c r="G151" s="133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</row>
    <row r="152" spans="1:29" ht="15.75" customHeight="1">
      <c r="A152" s="105"/>
      <c r="B152" s="105"/>
      <c r="C152" s="105"/>
      <c r="D152" s="117"/>
      <c r="E152" s="117"/>
      <c r="F152" s="117"/>
      <c r="G152" s="133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</row>
    <row r="153" spans="1:29" ht="15.75" customHeight="1">
      <c r="A153" s="105"/>
      <c r="B153" s="105"/>
      <c r="C153" s="105"/>
      <c r="D153" s="117"/>
      <c r="E153" s="117"/>
      <c r="F153" s="117"/>
      <c r="G153" s="133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</row>
    <row r="154" spans="1:29" ht="15.75" customHeight="1">
      <c r="A154" s="105"/>
      <c r="B154" s="105"/>
      <c r="C154" s="105"/>
      <c r="D154" s="117"/>
      <c r="E154" s="117"/>
      <c r="F154" s="117"/>
      <c r="G154" s="133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</row>
    <row r="155" spans="1:29" ht="15.75" customHeight="1">
      <c r="A155" s="105"/>
      <c r="B155" s="105"/>
      <c r="C155" s="105"/>
      <c r="D155" s="117"/>
      <c r="E155" s="117"/>
      <c r="F155" s="117"/>
      <c r="G155" s="133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  <c r="AA155" s="117"/>
      <c r="AB155" s="117"/>
      <c r="AC155" s="117"/>
    </row>
    <row r="156" spans="1:29" ht="15.75" customHeight="1">
      <c r="A156" s="105"/>
      <c r="B156" s="105"/>
      <c r="C156" s="105"/>
      <c r="D156" s="117"/>
      <c r="E156" s="117"/>
      <c r="F156" s="117"/>
      <c r="G156" s="133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</row>
    <row r="157" spans="1:29" ht="15.75" customHeight="1">
      <c r="A157" s="105"/>
      <c r="B157" s="105"/>
      <c r="C157" s="105"/>
      <c r="D157" s="117"/>
      <c r="E157" s="117"/>
      <c r="F157" s="117"/>
      <c r="G157" s="133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  <c r="AA157" s="117"/>
      <c r="AB157" s="117"/>
      <c r="AC157" s="117"/>
    </row>
    <row r="158" spans="1:29" ht="15.75" customHeight="1">
      <c r="A158" s="105"/>
      <c r="B158" s="105"/>
      <c r="C158" s="105"/>
      <c r="D158" s="117"/>
      <c r="E158" s="117"/>
      <c r="F158" s="117"/>
      <c r="G158" s="133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  <c r="AA158" s="117"/>
      <c r="AB158" s="117"/>
      <c r="AC158" s="117"/>
    </row>
    <row r="159" spans="1:29" ht="15.75" customHeight="1">
      <c r="A159" s="105"/>
      <c r="B159" s="105"/>
      <c r="C159" s="105"/>
      <c r="D159" s="117"/>
      <c r="E159" s="117"/>
      <c r="F159" s="117"/>
      <c r="G159" s="133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7"/>
      <c r="AB159" s="117"/>
      <c r="AC159" s="117"/>
    </row>
    <row r="160" spans="1:29" ht="15.75" customHeight="1">
      <c r="A160" s="105"/>
      <c r="B160" s="105"/>
      <c r="C160" s="105"/>
      <c r="D160" s="117"/>
      <c r="E160" s="117"/>
      <c r="F160" s="117"/>
      <c r="G160" s="133"/>
      <c r="H160" s="117"/>
      <c r="I160" s="117"/>
      <c r="J160" s="117"/>
      <c r="K160" s="117"/>
      <c r="L160" s="117"/>
      <c r="M160" s="117"/>
      <c r="N160" s="117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  <c r="AA160" s="117"/>
      <c r="AB160" s="117"/>
      <c r="AC160" s="117"/>
    </row>
    <row r="161" spans="1:29" ht="15.75" customHeight="1">
      <c r="A161" s="105"/>
      <c r="B161" s="105"/>
      <c r="C161" s="105"/>
      <c r="D161" s="117"/>
      <c r="E161" s="117"/>
      <c r="F161" s="117"/>
      <c r="G161" s="133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7"/>
      <c r="AB161" s="117"/>
      <c r="AC161" s="117"/>
    </row>
    <row r="162" spans="1:29" ht="15.75" customHeight="1">
      <c r="A162" s="105"/>
      <c r="B162" s="105"/>
      <c r="C162" s="105"/>
      <c r="D162" s="117"/>
      <c r="E162" s="117"/>
      <c r="F162" s="117"/>
      <c r="G162" s="133"/>
      <c r="H162" s="117"/>
      <c r="I162" s="117"/>
      <c r="J162" s="117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  <c r="AA162" s="117"/>
      <c r="AB162" s="117"/>
      <c r="AC162" s="117"/>
    </row>
    <row r="163" spans="1:29" ht="15.75" customHeight="1">
      <c r="A163" s="105"/>
      <c r="B163" s="105"/>
      <c r="C163" s="105"/>
      <c r="D163" s="117"/>
      <c r="E163" s="117"/>
      <c r="F163" s="117"/>
      <c r="G163" s="133"/>
      <c r="H163" s="117"/>
      <c r="I163" s="117"/>
      <c r="J163" s="117"/>
      <c r="K163" s="117"/>
      <c r="L163" s="117"/>
      <c r="M163" s="117"/>
      <c r="N163" s="117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  <c r="AA163" s="117"/>
      <c r="AB163" s="117"/>
      <c r="AC163" s="117"/>
    </row>
    <row r="164" spans="1:29" ht="15.75" customHeight="1">
      <c r="A164" s="105"/>
      <c r="B164" s="105"/>
      <c r="C164" s="105"/>
      <c r="D164" s="117"/>
      <c r="E164" s="117"/>
      <c r="F164" s="117"/>
      <c r="G164" s="133"/>
      <c r="H164" s="117"/>
      <c r="I164" s="117"/>
      <c r="J164" s="117"/>
      <c r="K164" s="117"/>
      <c r="L164" s="117"/>
      <c r="M164" s="117"/>
      <c r="N164" s="117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  <c r="AA164" s="117"/>
      <c r="AB164" s="117"/>
      <c r="AC164" s="117"/>
    </row>
    <row r="165" spans="1:29" ht="15.75" customHeight="1">
      <c r="A165" s="105"/>
      <c r="B165" s="105"/>
      <c r="C165" s="105"/>
      <c r="D165" s="117"/>
      <c r="E165" s="117"/>
      <c r="F165" s="117"/>
      <c r="G165" s="133"/>
      <c r="H165" s="117"/>
      <c r="I165" s="117"/>
      <c r="J165" s="117"/>
      <c r="K165" s="117"/>
      <c r="L165" s="117"/>
      <c r="M165" s="117"/>
      <c r="N165" s="117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  <c r="AA165" s="117"/>
      <c r="AB165" s="117"/>
      <c r="AC165" s="117"/>
    </row>
    <row r="166" spans="1:29" ht="15.75" customHeight="1">
      <c r="A166" s="105"/>
      <c r="B166" s="105"/>
      <c r="C166" s="105"/>
      <c r="D166" s="117"/>
      <c r="E166" s="117"/>
      <c r="F166" s="117"/>
      <c r="G166" s="133"/>
      <c r="H166" s="117"/>
      <c r="I166" s="117"/>
      <c r="J166" s="117"/>
      <c r="K166" s="117"/>
      <c r="L166" s="117"/>
      <c r="M166" s="117"/>
      <c r="N166" s="117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  <c r="AA166" s="117"/>
      <c r="AB166" s="117"/>
      <c r="AC166" s="117"/>
    </row>
    <row r="167" spans="1:29" ht="15.75" customHeight="1">
      <c r="A167" s="105"/>
      <c r="B167" s="105"/>
      <c r="C167" s="105"/>
      <c r="D167" s="117"/>
      <c r="E167" s="117"/>
      <c r="F167" s="117"/>
      <c r="G167" s="133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B167" s="117"/>
      <c r="AC167" s="117"/>
    </row>
    <row r="168" spans="1:29" ht="15.75" customHeight="1">
      <c r="A168" s="105"/>
      <c r="B168" s="105"/>
      <c r="C168" s="105"/>
      <c r="D168" s="117"/>
      <c r="E168" s="117"/>
      <c r="F168" s="117"/>
      <c r="G168" s="133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  <c r="AA168" s="117"/>
      <c r="AB168" s="117"/>
      <c r="AC168" s="117"/>
    </row>
    <row r="169" spans="1:29" ht="15.75" customHeight="1">
      <c r="A169" s="105"/>
      <c r="B169" s="105"/>
      <c r="C169" s="105"/>
      <c r="D169" s="117"/>
      <c r="E169" s="117"/>
      <c r="F169" s="117"/>
      <c r="G169" s="133"/>
      <c r="H169" s="117"/>
      <c r="I169" s="117"/>
      <c r="J169" s="117"/>
      <c r="K169" s="117"/>
      <c r="L169" s="117"/>
      <c r="M169" s="117"/>
      <c r="N169" s="117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  <c r="AA169" s="117"/>
      <c r="AB169" s="117"/>
      <c r="AC169" s="117"/>
    </row>
    <row r="170" spans="1:29" ht="15.75" customHeight="1">
      <c r="A170" s="105"/>
      <c r="B170" s="105"/>
      <c r="C170" s="105"/>
      <c r="D170" s="117"/>
      <c r="E170" s="117"/>
      <c r="F170" s="117"/>
      <c r="G170" s="133"/>
      <c r="H170" s="117"/>
      <c r="I170" s="117"/>
      <c r="J170" s="117"/>
      <c r="K170" s="117"/>
      <c r="L170" s="117"/>
      <c r="M170" s="117"/>
      <c r="N170" s="117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  <c r="AA170" s="117"/>
      <c r="AB170" s="117"/>
      <c r="AC170" s="117"/>
    </row>
    <row r="171" spans="1:29" ht="15.75" customHeight="1">
      <c r="A171" s="105"/>
      <c r="B171" s="105"/>
      <c r="C171" s="105"/>
      <c r="D171" s="117"/>
      <c r="E171" s="117"/>
      <c r="F171" s="117"/>
      <c r="G171" s="133"/>
      <c r="H171" s="117"/>
      <c r="I171" s="117"/>
      <c r="J171" s="117"/>
      <c r="K171" s="117"/>
      <c r="L171" s="117"/>
      <c r="M171" s="117"/>
      <c r="N171" s="117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  <c r="AA171" s="117"/>
      <c r="AB171" s="117"/>
      <c r="AC171" s="117"/>
    </row>
    <row r="172" spans="1:29" ht="15.75" customHeight="1">
      <c r="A172" s="105"/>
      <c r="B172" s="105"/>
      <c r="C172" s="105"/>
      <c r="D172" s="117"/>
      <c r="E172" s="117"/>
      <c r="F172" s="117"/>
      <c r="G172" s="133"/>
      <c r="H172" s="117"/>
      <c r="I172" s="117"/>
      <c r="J172" s="117"/>
      <c r="K172" s="117"/>
      <c r="L172" s="117"/>
      <c r="M172" s="117"/>
      <c r="N172" s="117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  <c r="AA172" s="117"/>
      <c r="AB172" s="117"/>
      <c r="AC172" s="117"/>
    </row>
    <row r="173" spans="1:29" ht="15.75" customHeight="1">
      <c r="A173" s="105"/>
      <c r="B173" s="105"/>
      <c r="C173" s="105"/>
      <c r="D173" s="117"/>
      <c r="E173" s="117"/>
      <c r="F173" s="117"/>
      <c r="G173" s="133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</row>
    <row r="174" spans="1:29" ht="15.75" customHeight="1">
      <c r="A174" s="105"/>
      <c r="B174" s="105"/>
      <c r="C174" s="105"/>
      <c r="D174" s="117"/>
      <c r="E174" s="117"/>
      <c r="F174" s="117"/>
      <c r="G174" s="133"/>
      <c r="H174" s="117"/>
      <c r="I174" s="117"/>
      <c r="J174" s="117"/>
      <c r="K174" s="117"/>
      <c r="L174" s="117"/>
      <c r="M174" s="117"/>
      <c r="N174" s="117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  <c r="AA174" s="117"/>
      <c r="AB174" s="117"/>
      <c r="AC174" s="117"/>
    </row>
    <row r="175" spans="1:29" ht="15.75" customHeight="1">
      <c r="A175" s="105"/>
      <c r="B175" s="105"/>
      <c r="C175" s="105"/>
      <c r="D175" s="117"/>
      <c r="E175" s="117"/>
      <c r="F175" s="117"/>
      <c r="G175" s="133"/>
      <c r="H175" s="117"/>
      <c r="I175" s="117"/>
      <c r="J175" s="117"/>
      <c r="K175" s="117"/>
      <c r="L175" s="117"/>
      <c r="M175" s="117"/>
      <c r="N175" s="117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  <c r="AA175" s="117"/>
      <c r="AB175" s="117"/>
      <c r="AC175" s="117"/>
    </row>
    <row r="176" spans="1:29" ht="15.75" customHeight="1">
      <c r="A176" s="105"/>
      <c r="B176" s="105"/>
      <c r="C176" s="105"/>
      <c r="D176" s="117"/>
      <c r="E176" s="117"/>
      <c r="F176" s="117"/>
      <c r="G176" s="133"/>
      <c r="H176" s="117"/>
      <c r="I176" s="117"/>
      <c r="J176" s="117"/>
      <c r="K176" s="117"/>
      <c r="L176" s="117"/>
      <c r="M176" s="117"/>
      <c r="N176" s="117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  <c r="AA176" s="117"/>
      <c r="AB176" s="117"/>
      <c r="AC176" s="117"/>
    </row>
    <row r="177" spans="1:29" ht="15.75" customHeight="1">
      <c r="A177" s="105"/>
      <c r="B177" s="105"/>
      <c r="C177" s="105"/>
      <c r="D177" s="117"/>
      <c r="E177" s="117"/>
      <c r="F177" s="117"/>
      <c r="G177" s="133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</row>
    <row r="178" spans="1:29" ht="15.75" customHeight="1">
      <c r="A178" s="105"/>
      <c r="B178" s="105"/>
      <c r="C178" s="105"/>
      <c r="D178" s="117"/>
      <c r="E178" s="117"/>
      <c r="F178" s="117"/>
      <c r="G178" s="133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</row>
    <row r="179" spans="1:29" ht="15.75" customHeight="1">
      <c r="A179" s="105"/>
      <c r="B179" s="105"/>
      <c r="C179" s="105"/>
      <c r="D179" s="117"/>
      <c r="E179" s="117"/>
      <c r="F179" s="117"/>
      <c r="G179" s="133"/>
      <c r="H179" s="117"/>
      <c r="I179" s="117"/>
      <c r="J179" s="117"/>
      <c r="K179" s="117"/>
      <c r="L179" s="117"/>
      <c r="M179" s="117"/>
      <c r="N179" s="117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  <c r="AA179" s="117"/>
      <c r="AB179" s="117"/>
      <c r="AC179" s="117"/>
    </row>
    <row r="180" spans="1:29" ht="15.75" customHeight="1">
      <c r="A180" s="105"/>
      <c r="B180" s="105"/>
      <c r="C180" s="105"/>
      <c r="D180" s="117"/>
      <c r="E180" s="117"/>
      <c r="F180" s="117"/>
      <c r="G180" s="133"/>
      <c r="H180" s="117"/>
      <c r="I180" s="117"/>
      <c r="J180" s="117"/>
      <c r="K180" s="117"/>
      <c r="L180" s="117"/>
      <c r="M180" s="117"/>
      <c r="N180" s="117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  <c r="AA180" s="117"/>
      <c r="AB180" s="117"/>
      <c r="AC180" s="117"/>
    </row>
    <row r="181" spans="1:29" ht="15.75" customHeight="1">
      <c r="A181" s="105"/>
      <c r="B181" s="105"/>
      <c r="C181" s="105"/>
      <c r="D181" s="117"/>
      <c r="E181" s="117"/>
      <c r="F181" s="117"/>
      <c r="G181" s="133"/>
      <c r="H181" s="117"/>
      <c r="I181" s="117"/>
      <c r="J181" s="117"/>
      <c r="K181" s="117"/>
      <c r="L181" s="117"/>
      <c r="M181" s="117"/>
      <c r="N181" s="117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  <c r="AA181" s="117"/>
      <c r="AB181" s="117"/>
      <c r="AC181" s="117"/>
    </row>
    <row r="182" spans="1:29" ht="15.75" customHeight="1">
      <c r="A182" s="105"/>
      <c r="B182" s="105"/>
      <c r="C182" s="105"/>
      <c r="D182" s="117"/>
      <c r="E182" s="117"/>
      <c r="F182" s="117"/>
      <c r="G182" s="133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</row>
    <row r="183" spans="1:29" ht="15.75" customHeight="1">
      <c r="A183" s="105"/>
      <c r="B183" s="105"/>
      <c r="C183" s="105"/>
      <c r="D183" s="117"/>
      <c r="E183" s="117"/>
      <c r="F183" s="117"/>
      <c r="G183" s="133"/>
      <c r="H183" s="117"/>
      <c r="I183" s="117"/>
      <c r="J183" s="117"/>
      <c r="K183" s="117"/>
      <c r="L183" s="117"/>
      <c r="M183" s="117"/>
      <c r="N183" s="117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  <c r="AA183" s="117"/>
      <c r="AB183" s="117"/>
      <c r="AC183" s="117"/>
    </row>
    <row r="184" spans="1:29" ht="15.75" customHeight="1">
      <c r="A184" s="105"/>
      <c r="B184" s="105"/>
      <c r="C184" s="105"/>
      <c r="D184" s="117"/>
      <c r="E184" s="117"/>
      <c r="F184" s="117"/>
      <c r="G184" s="133"/>
      <c r="H184" s="117"/>
      <c r="I184" s="117"/>
      <c r="J184" s="117"/>
      <c r="K184" s="117"/>
      <c r="L184" s="117"/>
      <c r="M184" s="117"/>
      <c r="N184" s="117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  <c r="AA184" s="117"/>
      <c r="AB184" s="117"/>
      <c r="AC184" s="117"/>
    </row>
    <row r="185" spans="1:29" ht="15.75" customHeight="1">
      <c r="A185" s="105"/>
      <c r="B185" s="105"/>
      <c r="C185" s="105"/>
      <c r="D185" s="117"/>
      <c r="E185" s="117"/>
      <c r="F185" s="117"/>
      <c r="G185" s="133"/>
      <c r="H185" s="117"/>
      <c r="I185" s="117"/>
      <c r="J185" s="117"/>
      <c r="K185" s="117"/>
      <c r="L185" s="117"/>
      <c r="M185" s="117"/>
      <c r="N185" s="117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  <c r="AA185" s="117"/>
      <c r="AB185" s="117"/>
      <c r="AC185" s="117"/>
    </row>
    <row r="186" spans="1:29" ht="15.75" customHeight="1">
      <c r="A186" s="105"/>
      <c r="B186" s="105"/>
      <c r="C186" s="105"/>
      <c r="D186" s="117"/>
      <c r="E186" s="117"/>
      <c r="F186" s="117"/>
      <c r="G186" s="133"/>
      <c r="H186" s="117"/>
      <c r="I186" s="117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  <c r="AA186" s="117"/>
      <c r="AB186" s="117"/>
      <c r="AC186" s="117"/>
    </row>
    <row r="187" spans="1:29" ht="15.75" customHeight="1">
      <c r="A187" s="105"/>
      <c r="B187" s="105"/>
      <c r="C187" s="105"/>
      <c r="D187" s="117"/>
      <c r="E187" s="117"/>
      <c r="F187" s="117"/>
      <c r="G187" s="133"/>
      <c r="H187" s="117"/>
      <c r="I187" s="117"/>
      <c r="J187" s="117"/>
      <c r="K187" s="117"/>
      <c r="L187" s="117"/>
      <c r="M187" s="117"/>
      <c r="N187" s="117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  <c r="AA187" s="117"/>
      <c r="AB187" s="117"/>
      <c r="AC187" s="117"/>
    </row>
    <row r="188" spans="1:29" ht="15.75" customHeight="1">
      <c r="A188" s="105"/>
      <c r="B188" s="105"/>
      <c r="C188" s="105"/>
      <c r="D188" s="117"/>
      <c r="E188" s="117"/>
      <c r="F188" s="117"/>
      <c r="G188" s="133"/>
      <c r="H188" s="117"/>
      <c r="I188" s="117"/>
      <c r="J188" s="117"/>
      <c r="K188" s="117"/>
      <c r="L188" s="117"/>
      <c r="M188" s="117"/>
      <c r="N188" s="117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  <c r="AA188" s="117"/>
      <c r="AB188" s="117"/>
      <c r="AC188" s="117"/>
    </row>
    <row r="189" spans="1:29" ht="15.75" customHeight="1">
      <c r="A189" s="105"/>
      <c r="B189" s="105"/>
      <c r="C189" s="105"/>
      <c r="D189" s="117"/>
      <c r="E189" s="117"/>
      <c r="F189" s="117"/>
      <c r="G189" s="133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  <c r="AA189" s="117"/>
      <c r="AB189" s="117"/>
      <c r="AC189" s="117"/>
    </row>
    <row r="190" spans="1:29" ht="15.75" customHeight="1">
      <c r="A190" s="105"/>
      <c r="B190" s="105"/>
      <c r="C190" s="105"/>
      <c r="D190" s="117"/>
      <c r="E190" s="117"/>
      <c r="F190" s="117"/>
      <c r="G190" s="133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</row>
    <row r="191" spans="1:29" ht="15.75" customHeight="1">
      <c r="A191" s="105"/>
      <c r="B191" s="105"/>
      <c r="C191" s="105"/>
      <c r="D191" s="117"/>
      <c r="E191" s="117"/>
      <c r="F191" s="117"/>
      <c r="G191" s="133"/>
      <c r="H191" s="117"/>
      <c r="I191" s="117"/>
      <c r="J191" s="117"/>
      <c r="K191" s="117"/>
      <c r="L191" s="117"/>
      <c r="M191" s="117"/>
      <c r="N191" s="117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  <c r="AA191" s="117"/>
      <c r="AB191" s="117"/>
      <c r="AC191" s="117"/>
    </row>
    <row r="192" spans="1:29" ht="15.75" customHeight="1">
      <c r="A192" s="105"/>
      <c r="B192" s="105"/>
      <c r="C192" s="105"/>
      <c r="D192" s="117"/>
      <c r="E192" s="117"/>
      <c r="F192" s="117"/>
      <c r="G192" s="133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  <c r="AB192" s="117"/>
      <c r="AC192" s="117"/>
    </row>
    <row r="193" spans="1:29" ht="15.75" customHeight="1">
      <c r="A193" s="105"/>
      <c r="B193" s="105"/>
      <c r="C193" s="105"/>
      <c r="D193" s="117"/>
      <c r="E193" s="117"/>
      <c r="F193" s="117"/>
      <c r="G193" s="133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7"/>
    </row>
    <row r="194" spans="1:29" ht="15.75" customHeight="1">
      <c r="A194" s="105"/>
      <c r="B194" s="105"/>
      <c r="C194" s="105"/>
      <c r="D194" s="117"/>
      <c r="E194" s="117"/>
      <c r="F194" s="117"/>
      <c r="G194" s="133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  <c r="AB194" s="117"/>
      <c r="AC194" s="117"/>
    </row>
    <row r="195" spans="1:29" ht="15.75" customHeight="1">
      <c r="A195" s="105"/>
      <c r="B195" s="105"/>
      <c r="C195" s="105"/>
      <c r="D195" s="117"/>
      <c r="E195" s="117"/>
      <c r="F195" s="117"/>
      <c r="G195" s="133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  <c r="AA195" s="117"/>
      <c r="AB195" s="117"/>
      <c r="AC195" s="117"/>
    </row>
    <row r="196" spans="1:29" ht="15.75" customHeight="1">
      <c r="A196" s="105"/>
      <c r="B196" s="105"/>
      <c r="C196" s="105"/>
      <c r="D196" s="117"/>
      <c r="E196" s="117"/>
      <c r="F196" s="117"/>
      <c r="G196" s="133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  <c r="AA196" s="117"/>
      <c r="AB196" s="117"/>
      <c r="AC196" s="117"/>
    </row>
    <row r="197" spans="1:29" ht="15.75" customHeight="1">
      <c r="A197" s="105"/>
      <c r="B197" s="105"/>
      <c r="C197" s="105"/>
      <c r="D197" s="117"/>
      <c r="E197" s="117"/>
      <c r="F197" s="117"/>
      <c r="G197" s="133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  <c r="AA197" s="117"/>
      <c r="AB197" s="117"/>
      <c r="AC197" s="117"/>
    </row>
    <row r="198" spans="1:29" ht="15.75" customHeight="1">
      <c r="A198" s="105"/>
      <c r="B198" s="105"/>
      <c r="C198" s="105"/>
      <c r="D198" s="117"/>
      <c r="E198" s="117"/>
      <c r="F198" s="117"/>
      <c r="G198" s="133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  <c r="AA198" s="117"/>
      <c r="AB198" s="117"/>
      <c r="AC198" s="117"/>
    </row>
    <row r="199" spans="1:29" ht="15.75" customHeight="1">
      <c r="A199" s="105"/>
      <c r="B199" s="105"/>
      <c r="C199" s="105"/>
      <c r="D199" s="117"/>
      <c r="E199" s="117"/>
      <c r="F199" s="117"/>
      <c r="G199" s="133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  <c r="AA199" s="117"/>
      <c r="AB199" s="117"/>
      <c r="AC199" s="117"/>
    </row>
    <row r="200" spans="1:29" ht="15.75" customHeight="1">
      <c r="A200" s="105"/>
      <c r="B200" s="105"/>
      <c r="C200" s="105"/>
      <c r="D200" s="117"/>
      <c r="E200" s="117"/>
      <c r="F200" s="117"/>
      <c r="G200" s="133"/>
      <c r="H200" s="117"/>
      <c r="I200" s="117"/>
      <c r="J200" s="117"/>
      <c r="K200" s="117"/>
      <c r="L200" s="117"/>
      <c r="M200" s="117"/>
      <c r="N200" s="117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  <c r="AA200" s="117"/>
      <c r="AB200" s="117"/>
      <c r="AC200" s="117"/>
    </row>
    <row r="201" spans="1:29" ht="15.75" customHeight="1">
      <c r="A201" s="105"/>
      <c r="B201" s="105"/>
      <c r="C201" s="105"/>
      <c r="D201" s="117"/>
      <c r="E201" s="117"/>
      <c r="F201" s="117"/>
      <c r="G201" s="133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</row>
    <row r="202" spans="1:29" ht="15.75" customHeight="1">
      <c r="A202" s="105"/>
      <c r="B202" s="105"/>
      <c r="C202" s="105"/>
      <c r="D202" s="117"/>
      <c r="E202" s="117"/>
      <c r="F202" s="117"/>
      <c r="G202" s="133"/>
      <c r="H202" s="117"/>
      <c r="I202" s="117"/>
      <c r="J202" s="117"/>
      <c r="K202" s="117"/>
      <c r="L202" s="117"/>
      <c r="M202" s="117"/>
      <c r="N202" s="117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  <c r="AA202" s="117"/>
      <c r="AB202" s="117"/>
      <c r="AC202" s="117"/>
    </row>
    <row r="203" spans="1:29" ht="15.75" customHeight="1">
      <c r="A203" s="105"/>
      <c r="B203" s="105"/>
      <c r="C203" s="105"/>
      <c r="D203" s="117"/>
      <c r="E203" s="117"/>
      <c r="F203" s="117"/>
      <c r="G203" s="133"/>
      <c r="H203" s="117"/>
      <c r="I203" s="117"/>
      <c r="J203" s="117"/>
      <c r="K203" s="117"/>
      <c r="L203" s="117"/>
      <c r="M203" s="117"/>
      <c r="N203" s="117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  <c r="AA203" s="117"/>
      <c r="AB203" s="117"/>
      <c r="AC203" s="117"/>
    </row>
    <row r="204" spans="1:29" ht="15.75" customHeight="1">
      <c r="A204" s="105"/>
      <c r="B204" s="105"/>
      <c r="C204" s="105"/>
      <c r="D204" s="117"/>
      <c r="E204" s="117"/>
      <c r="F204" s="117"/>
      <c r="G204" s="133"/>
      <c r="H204" s="117"/>
      <c r="I204" s="117"/>
      <c r="J204" s="117"/>
      <c r="K204" s="117"/>
      <c r="L204" s="117"/>
      <c r="M204" s="117"/>
      <c r="N204" s="117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  <c r="AA204" s="117"/>
      <c r="AB204" s="117"/>
      <c r="AC204" s="117"/>
    </row>
    <row r="205" spans="1:29" ht="15.75" customHeight="1">
      <c r="A205" s="105"/>
      <c r="B205" s="105"/>
      <c r="C205" s="105"/>
      <c r="D205" s="117"/>
      <c r="E205" s="117"/>
      <c r="F205" s="117"/>
      <c r="G205" s="133"/>
      <c r="H205" s="117"/>
      <c r="I205" s="117"/>
      <c r="J205" s="117"/>
      <c r="K205" s="117"/>
      <c r="L205" s="117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  <c r="AA205" s="117"/>
      <c r="AB205" s="117"/>
      <c r="AC205" s="117"/>
    </row>
    <row r="206" spans="1:29" ht="15.75" customHeight="1">
      <c r="A206" s="105"/>
      <c r="B206" s="105"/>
      <c r="C206" s="105"/>
      <c r="D206" s="117"/>
      <c r="E206" s="117"/>
      <c r="F206" s="117"/>
      <c r="G206" s="133"/>
      <c r="H206" s="117"/>
      <c r="I206" s="117"/>
      <c r="J206" s="117"/>
      <c r="K206" s="117"/>
      <c r="L206" s="117"/>
      <c r="M206" s="117"/>
      <c r="N206" s="117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  <c r="AA206" s="117"/>
      <c r="AB206" s="117"/>
      <c r="AC206" s="117"/>
    </row>
    <row r="207" spans="1:29" ht="15.75" customHeight="1">
      <c r="A207" s="105"/>
      <c r="B207" s="105"/>
      <c r="C207" s="105"/>
      <c r="D207" s="117"/>
      <c r="E207" s="117"/>
      <c r="F207" s="117"/>
      <c r="G207" s="133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</row>
    <row r="208" spans="1:29" ht="15.75" customHeight="1">
      <c r="A208" s="105"/>
      <c r="B208" s="105"/>
      <c r="C208" s="105"/>
      <c r="D208" s="117"/>
      <c r="E208" s="117"/>
      <c r="F208" s="117"/>
      <c r="G208" s="133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  <c r="AB208" s="117"/>
      <c r="AC208" s="117"/>
    </row>
    <row r="209" spans="1:29" ht="15.75" customHeight="1">
      <c r="A209" s="105"/>
      <c r="B209" s="105"/>
      <c r="C209" s="105"/>
      <c r="D209" s="117"/>
      <c r="E209" s="117"/>
      <c r="F209" s="117"/>
      <c r="G209" s="133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  <c r="AA209" s="117"/>
      <c r="AB209" s="117"/>
      <c r="AC209" s="117"/>
    </row>
    <row r="210" spans="1:29" ht="15.75" customHeight="1">
      <c r="A210" s="105"/>
      <c r="B210" s="105"/>
      <c r="C210" s="105"/>
      <c r="D210" s="117"/>
      <c r="E210" s="117"/>
      <c r="F210" s="117"/>
      <c r="G210" s="133"/>
      <c r="H210" s="117"/>
      <c r="I210" s="117"/>
      <c r="J210" s="117"/>
      <c r="K210" s="117"/>
      <c r="L210" s="117"/>
      <c r="M210" s="117"/>
      <c r="N210" s="117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  <c r="AA210" s="117"/>
      <c r="AB210" s="117"/>
      <c r="AC210" s="117"/>
    </row>
    <row r="211" spans="1:29" ht="15.75" customHeight="1">
      <c r="A211" s="105"/>
      <c r="B211" s="105"/>
      <c r="C211" s="105"/>
      <c r="D211" s="117"/>
      <c r="E211" s="117"/>
      <c r="F211" s="117"/>
      <c r="G211" s="133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  <c r="AA211" s="117"/>
      <c r="AB211" s="117"/>
      <c r="AC211" s="117"/>
    </row>
    <row r="212" spans="1:29" ht="15.75" customHeight="1">
      <c r="A212" s="105"/>
      <c r="B212" s="105"/>
      <c r="C212" s="105"/>
      <c r="D212" s="117"/>
      <c r="E212" s="117"/>
      <c r="F212" s="117"/>
      <c r="G212" s="133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  <c r="AA212" s="117"/>
      <c r="AB212" s="117"/>
      <c r="AC212" s="117"/>
    </row>
    <row r="213" spans="1:29" ht="15.75" customHeight="1">
      <c r="D213" s="117"/>
      <c r="E213" s="117"/>
      <c r="F213" s="117"/>
      <c r="G213" s="133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  <c r="AA213" s="117"/>
      <c r="AB213" s="117"/>
      <c r="AC213" s="117"/>
    </row>
    <row r="214" spans="1:29" ht="15.75" customHeight="1">
      <c r="D214" s="117"/>
      <c r="E214" s="117"/>
      <c r="F214" s="117"/>
      <c r="G214" s="133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  <c r="AA214" s="117"/>
      <c r="AB214" s="117"/>
      <c r="AC214" s="117"/>
    </row>
    <row r="215" spans="1:29" ht="15.75" customHeight="1">
      <c r="D215" s="117"/>
      <c r="E215" s="117"/>
      <c r="F215" s="117"/>
      <c r="G215" s="133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  <c r="AA215" s="117"/>
      <c r="AB215" s="117"/>
      <c r="AC215" s="117"/>
    </row>
    <row r="216" spans="1:29" ht="15.75" customHeight="1">
      <c r="D216" s="117"/>
      <c r="E216" s="117"/>
      <c r="F216" s="117"/>
      <c r="G216" s="133"/>
      <c r="H216" s="117"/>
      <c r="I216" s="117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</row>
    <row r="217" spans="1:29" ht="15.75" customHeight="1">
      <c r="D217" s="117"/>
      <c r="E217" s="117"/>
      <c r="F217" s="117"/>
      <c r="G217" s="133"/>
      <c r="H217" s="117"/>
      <c r="I217" s="117"/>
      <c r="J217" s="117"/>
      <c r="K217" s="117"/>
      <c r="L217" s="117"/>
      <c r="M217" s="117"/>
      <c r="N217" s="117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  <c r="AA217" s="117"/>
      <c r="AB217" s="117"/>
      <c r="AC217" s="117"/>
    </row>
    <row r="218" spans="1:29" ht="15.75" customHeight="1">
      <c r="D218" s="117"/>
      <c r="E218" s="117"/>
      <c r="F218" s="117"/>
      <c r="G218" s="133"/>
      <c r="H218" s="117"/>
      <c r="I218" s="117"/>
      <c r="J218" s="117"/>
      <c r="K218" s="117"/>
      <c r="L218" s="117"/>
      <c r="M218" s="117"/>
      <c r="N218" s="117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  <c r="AA218" s="117"/>
      <c r="AB218" s="117"/>
      <c r="AC218" s="117"/>
    </row>
    <row r="219" spans="1:29" ht="15.75" customHeight="1">
      <c r="D219" s="117"/>
      <c r="E219" s="117"/>
      <c r="F219" s="117"/>
      <c r="G219" s="133"/>
      <c r="H219" s="117"/>
      <c r="I219" s="117"/>
      <c r="J219" s="117"/>
      <c r="K219" s="117"/>
      <c r="L219" s="117"/>
      <c r="M219" s="117"/>
      <c r="N219" s="117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  <c r="AA219" s="117"/>
      <c r="AB219" s="117"/>
      <c r="AC219" s="117"/>
    </row>
    <row r="220" spans="1:29" ht="15.75" customHeight="1">
      <c r="D220" s="117"/>
      <c r="E220" s="117"/>
      <c r="F220" s="117"/>
      <c r="G220" s="133"/>
      <c r="H220" s="117"/>
      <c r="I220" s="117"/>
      <c r="J220" s="117"/>
      <c r="K220" s="117"/>
      <c r="L220" s="117"/>
      <c r="M220" s="117"/>
      <c r="N220" s="117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  <c r="AA220" s="117"/>
      <c r="AB220" s="117"/>
      <c r="AC220" s="117"/>
    </row>
    <row r="221" spans="1:29" ht="15.75" customHeight="1">
      <c r="D221" s="117"/>
      <c r="E221" s="117"/>
      <c r="F221" s="117"/>
      <c r="G221" s="133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  <c r="AA221" s="117"/>
      <c r="AB221" s="117"/>
      <c r="AC221" s="117"/>
    </row>
    <row r="222" spans="1:29" ht="15.75" customHeight="1">
      <c r="D222" s="117"/>
      <c r="E222" s="117"/>
      <c r="F222" s="117"/>
      <c r="G222" s="133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</row>
    <row r="223" spans="1:29" ht="15.75" customHeight="1">
      <c r="D223" s="117"/>
      <c r="E223" s="117"/>
      <c r="F223" s="117"/>
      <c r="G223" s="133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  <c r="AA223" s="117"/>
      <c r="AB223" s="117"/>
      <c r="AC223" s="117"/>
    </row>
    <row r="224" spans="1:29" ht="15.75" customHeight="1">
      <c r="D224" s="117"/>
      <c r="E224" s="117"/>
      <c r="F224" s="117"/>
      <c r="G224" s="133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</row>
    <row r="225" spans="4:29" ht="15.75" customHeight="1">
      <c r="D225" s="117"/>
      <c r="E225" s="117"/>
      <c r="F225" s="117"/>
      <c r="G225" s="133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  <c r="AA225" s="117"/>
      <c r="AB225" s="117"/>
      <c r="AC225" s="117"/>
    </row>
    <row r="226" spans="4:29" ht="15.75" customHeight="1">
      <c r="D226" s="117"/>
      <c r="E226" s="117"/>
      <c r="F226" s="117"/>
      <c r="G226" s="133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  <c r="AA226" s="117"/>
      <c r="AB226" s="117"/>
      <c r="AC226" s="117"/>
    </row>
    <row r="227" spans="4:29" ht="15.75" customHeight="1">
      <c r="D227" s="117"/>
      <c r="E227" s="117"/>
      <c r="F227" s="117"/>
      <c r="G227" s="133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</row>
    <row r="228" spans="4:29" ht="15.75" customHeight="1">
      <c r="D228" s="117"/>
      <c r="E228" s="117"/>
      <c r="F228" s="117"/>
      <c r="G228" s="133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  <c r="AB228" s="117"/>
      <c r="AC228" s="117"/>
    </row>
    <row r="229" spans="4:29" ht="15.75" customHeight="1">
      <c r="D229" s="117"/>
      <c r="E229" s="117"/>
      <c r="F229" s="117"/>
      <c r="G229" s="133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  <c r="AA229" s="117"/>
      <c r="AB229" s="117"/>
      <c r="AC229" s="117"/>
    </row>
    <row r="230" spans="4:29" ht="15.75" customHeight="1">
      <c r="D230" s="117"/>
      <c r="E230" s="117"/>
      <c r="F230" s="117"/>
      <c r="G230" s="133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  <c r="AB230" s="117"/>
      <c r="AC230" s="117"/>
    </row>
    <row r="231" spans="4:29" ht="15.75" customHeight="1">
      <c r="D231" s="117"/>
      <c r="E231" s="117"/>
      <c r="F231" s="117"/>
      <c r="G231" s="133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  <c r="AB231" s="117"/>
      <c r="AC231" s="117"/>
    </row>
    <row r="232" spans="4:29" ht="15.75" customHeight="1">
      <c r="D232" s="117"/>
      <c r="E232" s="117"/>
      <c r="F232" s="117"/>
      <c r="G232" s="133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  <c r="AB232" s="117"/>
      <c r="AC232" s="117"/>
    </row>
    <row r="233" spans="4:29" ht="15.75" customHeight="1">
      <c r="D233" s="117"/>
      <c r="E233" s="117"/>
      <c r="F233" s="117"/>
      <c r="G233" s="133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  <c r="AB233" s="117"/>
      <c r="AC233" s="117"/>
    </row>
    <row r="234" spans="4:29" ht="15.75" customHeight="1">
      <c r="D234" s="117"/>
      <c r="E234" s="117"/>
      <c r="F234" s="117"/>
      <c r="G234" s="133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  <c r="AB234" s="117"/>
      <c r="AC234" s="117"/>
    </row>
    <row r="235" spans="4:29" ht="15.75" customHeight="1">
      <c r="D235" s="117"/>
      <c r="E235" s="117"/>
      <c r="F235" s="117"/>
      <c r="G235" s="133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  <c r="AA235" s="117"/>
      <c r="AB235" s="117"/>
      <c r="AC235" s="117"/>
    </row>
    <row r="236" spans="4:29" ht="15.75" customHeight="1">
      <c r="D236" s="117"/>
      <c r="E236" s="117"/>
      <c r="F236" s="117"/>
      <c r="G236" s="133"/>
      <c r="H236" s="117"/>
      <c r="I236" s="117"/>
      <c r="J236" s="117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  <c r="AA236" s="117"/>
      <c r="AB236" s="117"/>
      <c r="AC236" s="117"/>
    </row>
    <row r="237" spans="4:29" ht="15.75" customHeight="1">
      <c r="D237" s="117"/>
      <c r="E237" s="117"/>
      <c r="F237" s="117"/>
      <c r="G237" s="133"/>
      <c r="H237" s="117"/>
      <c r="I237" s="117"/>
      <c r="J237" s="117"/>
      <c r="K237" s="117"/>
      <c r="L237" s="117"/>
      <c r="M237" s="117"/>
      <c r="N237" s="117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  <c r="AA237" s="117"/>
      <c r="AB237" s="117"/>
      <c r="AC237" s="117"/>
    </row>
    <row r="238" spans="4:29" ht="15.75" customHeight="1">
      <c r="D238" s="117"/>
      <c r="E238" s="117"/>
      <c r="F238" s="117"/>
      <c r="G238" s="133"/>
      <c r="H238" s="117"/>
      <c r="I238" s="117"/>
      <c r="J238" s="117"/>
      <c r="K238" s="117"/>
      <c r="L238" s="117"/>
      <c r="M238" s="117"/>
      <c r="N238" s="117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  <c r="AA238" s="117"/>
      <c r="AB238" s="117"/>
      <c r="AC238" s="117"/>
    </row>
    <row r="239" spans="4:29" ht="15.75" customHeight="1">
      <c r="D239" s="117"/>
      <c r="E239" s="117"/>
      <c r="F239" s="117"/>
      <c r="G239" s="133"/>
      <c r="H239" s="117"/>
      <c r="I239" s="117"/>
      <c r="J239" s="117"/>
      <c r="K239" s="117"/>
      <c r="L239" s="117"/>
      <c r="M239" s="117"/>
      <c r="N239" s="117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  <c r="AA239" s="117"/>
      <c r="AB239" s="117"/>
      <c r="AC239" s="117"/>
    </row>
    <row r="240" spans="4:29" ht="15.75" customHeight="1">
      <c r="D240" s="117"/>
      <c r="E240" s="117"/>
      <c r="F240" s="117"/>
      <c r="G240" s="133"/>
      <c r="H240" s="117"/>
      <c r="I240" s="117"/>
      <c r="J240" s="117"/>
      <c r="K240" s="117"/>
      <c r="L240" s="117"/>
      <c r="M240" s="117"/>
      <c r="N240" s="117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  <c r="AA240" s="117"/>
      <c r="AB240" s="117"/>
      <c r="AC240" s="117"/>
    </row>
    <row r="241" spans="4:29" ht="15.75" customHeight="1">
      <c r="D241" s="117"/>
      <c r="E241" s="117"/>
      <c r="F241" s="117"/>
      <c r="G241" s="133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</row>
    <row r="242" spans="4:29" ht="15.75" customHeight="1">
      <c r="D242" s="117"/>
      <c r="E242" s="117"/>
      <c r="F242" s="117"/>
      <c r="G242" s="133"/>
      <c r="H242" s="117"/>
      <c r="I242" s="117"/>
      <c r="J242" s="117"/>
      <c r="K242" s="117"/>
      <c r="L242" s="117"/>
      <c r="M242" s="117"/>
      <c r="N242" s="117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  <c r="AA242" s="117"/>
      <c r="AB242" s="117"/>
      <c r="AC242" s="117"/>
    </row>
    <row r="243" spans="4:29" ht="15.75" customHeight="1">
      <c r="D243" s="117"/>
      <c r="E243" s="117"/>
      <c r="F243" s="117"/>
      <c r="G243" s="133"/>
      <c r="H243" s="117"/>
      <c r="I243" s="117"/>
      <c r="J243" s="117"/>
      <c r="K243" s="117"/>
      <c r="L243" s="117"/>
      <c r="M243" s="117"/>
      <c r="N243" s="117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  <c r="AA243" s="117"/>
      <c r="AB243" s="117"/>
      <c r="AC243" s="117"/>
    </row>
    <row r="244" spans="4:29" ht="15.75" customHeight="1">
      <c r="D244" s="117"/>
      <c r="E244" s="117"/>
      <c r="F244" s="117"/>
      <c r="G244" s="133"/>
      <c r="H244" s="117"/>
      <c r="I244" s="117"/>
      <c r="J244" s="117"/>
      <c r="K244" s="117"/>
      <c r="L244" s="117"/>
      <c r="M244" s="117"/>
      <c r="N244" s="117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  <c r="AA244" s="117"/>
      <c r="AB244" s="117"/>
      <c r="AC244" s="117"/>
    </row>
    <row r="245" spans="4:29" ht="15.75" customHeight="1">
      <c r="D245" s="117"/>
      <c r="E245" s="117"/>
      <c r="F245" s="117"/>
      <c r="G245" s="133"/>
      <c r="H245" s="117"/>
      <c r="I245" s="117"/>
      <c r="J245" s="117"/>
      <c r="K245" s="117"/>
      <c r="L245" s="117"/>
      <c r="M245" s="117"/>
      <c r="N245" s="117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  <c r="AA245" s="117"/>
      <c r="AB245" s="117"/>
      <c r="AC245" s="117"/>
    </row>
    <row r="246" spans="4:29" ht="15.75" customHeight="1">
      <c r="D246" s="117"/>
      <c r="E246" s="117"/>
      <c r="F246" s="117"/>
      <c r="G246" s="133"/>
      <c r="H246" s="117"/>
      <c r="I246" s="117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  <c r="AA246" s="117"/>
      <c r="AB246" s="117"/>
      <c r="AC246" s="117"/>
    </row>
    <row r="247" spans="4:29" ht="15.75" customHeight="1">
      <c r="D247" s="117"/>
      <c r="E247" s="117"/>
      <c r="F247" s="117"/>
      <c r="G247" s="133"/>
      <c r="H247" s="117"/>
      <c r="I247" s="117"/>
      <c r="J247" s="117"/>
      <c r="K247" s="117"/>
      <c r="L247" s="117"/>
      <c r="M247" s="117"/>
      <c r="N247" s="117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  <c r="AA247" s="117"/>
      <c r="AB247" s="117"/>
      <c r="AC247" s="117"/>
    </row>
    <row r="248" spans="4:29" ht="15.75" customHeight="1">
      <c r="D248" s="117"/>
      <c r="E248" s="117"/>
      <c r="F248" s="117"/>
      <c r="G248" s="133"/>
      <c r="H248" s="117"/>
      <c r="I248" s="117"/>
      <c r="J248" s="117"/>
      <c r="K248" s="117"/>
      <c r="L248" s="117"/>
      <c r="M248" s="117"/>
      <c r="N248" s="117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  <c r="AA248" s="117"/>
      <c r="AB248" s="117"/>
      <c r="AC248" s="117"/>
    </row>
    <row r="249" spans="4:29" ht="15.75" customHeight="1">
      <c r="D249" s="117"/>
      <c r="E249" s="117"/>
      <c r="F249" s="117"/>
      <c r="G249" s="133"/>
      <c r="H249" s="117"/>
      <c r="I249" s="117"/>
      <c r="J249" s="117"/>
      <c r="K249" s="117"/>
      <c r="L249" s="117"/>
      <c r="M249" s="117"/>
      <c r="N249" s="117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  <c r="AA249" s="117"/>
      <c r="AB249" s="117"/>
      <c r="AC249" s="117"/>
    </row>
    <row r="250" spans="4:29" ht="15.75" customHeight="1">
      <c r="D250" s="117"/>
      <c r="E250" s="117"/>
      <c r="F250" s="117"/>
      <c r="G250" s="133"/>
      <c r="H250" s="117"/>
      <c r="I250" s="117"/>
      <c r="J250" s="117"/>
      <c r="K250" s="117"/>
      <c r="L250" s="117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  <c r="AA250" s="117"/>
      <c r="AB250" s="117"/>
      <c r="AC250" s="117"/>
    </row>
    <row r="251" spans="4:29" ht="15.75" customHeight="1">
      <c r="D251" s="117"/>
      <c r="E251" s="117"/>
      <c r="F251" s="117"/>
      <c r="G251" s="133"/>
      <c r="H251" s="117"/>
      <c r="I251" s="117"/>
      <c r="J251" s="117"/>
      <c r="K251" s="117"/>
      <c r="L251" s="117"/>
      <c r="M251" s="117"/>
      <c r="N251" s="117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  <c r="AA251" s="117"/>
      <c r="AB251" s="117"/>
      <c r="AC251" s="117"/>
    </row>
    <row r="252" spans="4:29" ht="15.75" customHeight="1">
      <c r="D252" s="117"/>
      <c r="E252" s="117"/>
      <c r="F252" s="117"/>
      <c r="G252" s="133"/>
      <c r="H252" s="117"/>
      <c r="I252" s="117"/>
      <c r="J252" s="117"/>
      <c r="K252" s="117"/>
      <c r="L252" s="117"/>
      <c r="M252" s="117"/>
      <c r="N252" s="117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  <c r="AA252" s="117"/>
      <c r="AB252" s="117"/>
      <c r="AC252" s="117"/>
    </row>
    <row r="253" spans="4:29" ht="15.75" customHeight="1">
      <c r="D253" s="117"/>
      <c r="E253" s="117"/>
      <c r="F253" s="117"/>
      <c r="G253" s="133"/>
      <c r="H253" s="117"/>
      <c r="I253" s="117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  <c r="AA253" s="117"/>
      <c r="AB253" s="117"/>
      <c r="AC253" s="117"/>
    </row>
    <row r="254" spans="4:29" ht="15.75" customHeight="1">
      <c r="D254" s="117"/>
      <c r="E254" s="117"/>
      <c r="F254" s="117"/>
      <c r="G254" s="133"/>
      <c r="H254" s="117"/>
      <c r="I254" s="117"/>
      <c r="J254" s="117"/>
      <c r="K254" s="117"/>
      <c r="L254" s="117"/>
      <c r="M254" s="117"/>
      <c r="N254" s="117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  <c r="AA254" s="117"/>
      <c r="AB254" s="117"/>
      <c r="AC254" s="117"/>
    </row>
    <row r="255" spans="4:29" ht="15.75" customHeight="1">
      <c r="D255" s="117"/>
      <c r="E255" s="117"/>
      <c r="F255" s="117"/>
      <c r="G255" s="133"/>
      <c r="H255" s="117"/>
      <c r="I255" s="117"/>
      <c r="J255" s="117"/>
      <c r="K255" s="117"/>
      <c r="L255" s="117"/>
      <c r="M255" s="117"/>
      <c r="N255" s="117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  <c r="AA255" s="117"/>
      <c r="AB255" s="117"/>
      <c r="AC255" s="117"/>
    </row>
    <row r="256" spans="4:29" ht="15.75" customHeight="1">
      <c r="D256" s="117"/>
      <c r="E256" s="117"/>
      <c r="F256" s="117"/>
      <c r="G256" s="133"/>
      <c r="H256" s="117"/>
      <c r="I256" s="117"/>
      <c r="J256" s="117"/>
      <c r="K256" s="117"/>
      <c r="L256" s="117"/>
      <c r="M256" s="117"/>
      <c r="N256" s="117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  <c r="AA256" s="117"/>
      <c r="AB256" s="117"/>
      <c r="AC256" s="117"/>
    </row>
    <row r="257" spans="4:29" ht="15.75" customHeight="1">
      <c r="D257" s="117"/>
      <c r="E257" s="117"/>
      <c r="F257" s="117"/>
      <c r="G257" s="133"/>
      <c r="H257" s="117"/>
      <c r="I257" s="117"/>
      <c r="J257" s="117"/>
      <c r="K257" s="117"/>
      <c r="L257" s="117"/>
      <c r="M257" s="117"/>
      <c r="N257" s="117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  <c r="AA257" s="117"/>
      <c r="AB257" s="117"/>
      <c r="AC257" s="117"/>
    </row>
    <row r="258" spans="4:29" ht="15.75" customHeight="1">
      <c r="D258" s="117"/>
      <c r="E258" s="117"/>
      <c r="F258" s="117"/>
      <c r="G258" s="133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</row>
    <row r="259" spans="4:29" ht="15.75" customHeight="1">
      <c r="D259" s="117"/>
      <c r="E259" s="117"/>
      <c r="F259" s="117"/>
      <c r="G259" s="133"/>
      <c r="H259" s="117"/>
      <c r="I259" s="117"/>
      <c r="J259" s="117"/>
      <c r="K259" s="117"/>
      <c r="L259" s="117"/>
      <c r="M259" s="117"/>
      <c r="N259" s="117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  <c r="AA259" s="117"/>
      <c r="AB259" s="117"/>
      <c r="AC259" s="117"/>
    </row>
    <row r="260" spans="4:29" ht="15.75" customHeight="1">
      <c r="D260" s="117"/>
      <c r="E260" s="117"/>
      <c r="F260" s="117"/>
      <c r="G260" s="133"/>
      <c r="H260" s="117"/>
      <c r="I260" s="117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  <c r="AA260" s="117"/>
      <c r="AB260" s="117"/>
      <c r="AC260" s="117"/>
    </row>
    <row r="261" spans="4:29" ht="15.75" customHeight="1">
      <c r="D261" s="117"/>
      <c r="E261" s="117"/>
      <c r="F261" s="117"/>
      <c r="G261" s="133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  <c r="AA261" s="117"/>
      <c r="AB261" s="117"/>
      <c r="AC261" s="117"/>
    </row>
    <row r="262" spans="4:29" ht="15.75" customHeight="1">
      <c r="D262" s="117"/>
      <c r="E262" s="117"/>
      <c r="F262" s="117"/>
      <c r="G262" s="133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  <c r="AA262" s="117"/>
      <c r="AB262" s="117"/>
      <c r="AC262" s="117"/>
    </row>
    <row r="263" spans="4:29" ht="15.75" customHeight="1">
      <c r="D263" s="117"/>
      <c r="E263" s="117"/>
      <c r="F263" s="117"/>
      <c r="G263" s="133"/>
      <c r="H263" s="117"/>
      <c r="I263" s="117"/>
      <c r="J263" s="117"/>
      <c r="K263" s="117"/>
      <c r="L263" s="117"/>
      <c r="M263" s="117"/>
      <c r="N263" s="117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  <c r="AA263" s="117"/>
      <c r="AB263" s="117"/>
      <c r="AC263" s="117"/>
    </row>
    <row r="264" spans="4:29" ht="15.75" customHeight="1">
      <c r="D264" s="117"/>
      <c r="E264" s="117"/>
      <c r="F264" s="117"/>
      <c r="G264" s="133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  <c r="AB264" s="117"/>
      <c r="AC264" s="117"/>
    </row>
    <row r="265" spans="4:29" ht="15.75" customHeight="1">
      <c r="D265" s="117"/>
      <c r="E265" s="117"/>
      <c r="F265" s="117"/>
      <c r="G265" s="133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  <c r="AA265" s="117"/>
      <c r="AB265" s="117"/>
      <c r="AC265" s="117"/>
    </row>
    <row r="266" spans="4:29" ht="15.75" customHeight="1">
      <c r="D266" s="117"/>
      <c r="E266" s="117"/>
      <c r="F266" s="117"/>
      <c r="G266" s="133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  <c r="AA266" s="117"/>
      <c r="AB266" s="117"/>
      <c r="AC266" s="117"/>
    </row>
    <row r="267" spans="4:29" ht="15.75" customHeight="1">
      <c r="D267" s="117"/>
      <c r="E267" s="117"/>
      <c r="F267" s="117"/>
      <c r="G267" s="133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  <c r="AB267" s="117"/>
      <c r="AC267" s="117"/>
    </row>
    <row r="268" spans="4:29" ht="15.75" customHeight="1">
      <c r="D268" s="117"/>
      <c r="E268" s="117"/>
      <c r="F268" s="117"/>
      <c r="G268" s="133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  <c r="AA268" s="117"/>
      <c r="AB268" s="117"/>
      <c r="AC268" s="117"/>
    </row>
    <row r="269" spans="4:29" ht="15.75" customHeight="1">
      <c r="D269" s="117"/>
      <c r="E269" s="117"/>
      <c r="F269" s="117"/>
      <c r="G269" s="133"/>
      <c r="H269" s="117"/>
      <c r="I269" s="117"/>
      <c r="J269" s="117"/>
      <c r="K269" s="117"/>
      <c r="L269" s="117"/>
      <c r="M269" s="117"/>
      <c r="N269" s="117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  <c r="AA269" s="117"/>
      <c r="AB269" s="117"/>
      <c r="AC269" s="117"/>
    </row>
    <row r="270" spans="4:29" ht="15.75" customHeight="1">
      <c r="D270" s="117"/>
      <c r="E270" s="117"/>
      <c r="F270" s="117"/>
      <c r="G270" s="133"/>
      <c r="H270" s="117"/>
      <c r="I270" s="117"/>
      <c r="J270" s="117"/>
      <c r="K270" s="117"/>
      <c r="L270" s="117"/>
      <c r="M270" s="117"/>
      <c r="N270" s="117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  <c r="AA270" s="117"/>
      <c r="AB270" s="117"/>
      <c r="AC270" s="117"/>
    </row>
    <row r="271" spans="4:29" ht="15.75" customHeight="1">
      <c r="D271" s="117"/>
      <c r="E271" s="117"/>
      <c r="F271" s="117"/>
      <c r="G271" s="133"/>
      <c r="H271" s="117"/>
      <c r="I271" s="117"/>
      <c r="J271" s="117"/>
      <c r="K271" s="117"/>
      <c r="L271" s="117"/>
      <c r="M271" s="117"/>
      <c r="N271" s="117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  <c r="AA271" s="117"/>
      <c r="AB271" s="117"/>
      <c r="AC271" s="117"/>
    </row>
    <row r="272" spans="4:29" ht="15.75" customHeight="1">
      <c r="D272" s="117"/>
      <c r="E272" s="117"/>
      <c r="F272" s="117"/>
      <c r="G272" s="133"/>
      <c r="H272" s="117"/>
      <c r="I272" s="117"/>
      <c r="J272" s="117"/>
      <c r="K272" s="117"/>
      <c r="L272" s="117"/>
      <c r="M272" s="117"/>
      <c r="N272" s="117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  <c r="AA272" s="117"/>
      <c r="AB272" s="117"/>
      <c r="AC272" s="117"/>
    </row>
    <row r="273" spans="4:29" ht="15.75" customHeight="1">
      <c r="D273" s="117"/>
      <c r="E273" s="117"/>
      <c r="F273" s="117"/>
      <c r="G273" s="133"/>
      <c r="H273" s="117"/>
      <c r="I273" s="117"/>
      <c r="J273" s="117"/>
      <c r="K273" s="117"/>
      <c r="L273" s="117"/>
      <c r="M273" s="117"/>
      <c r="N273" s="117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  <c r="AA273" s="117"/>
      <c r="AB273" s="117"/>
      <c r="AC273" s="117"/>
    </row>
    <row r="274" spans="4:29" ht="15.75" customHeight="1">
      <c r="D274" s="117"/>
      <c r="E274" s="117"/>
      <c r="F274" s="117"/>
      <c r="G274" s="133"/>
      <c r="H274" s="117"/>
      <c r="I274" s="117"/>
      <c r="J274" s="117"/>
      <c r="K274" s="117"/>
      <c r="L274" s="117"/>
      <c r="M274" s="117"/>
      <c r="N274" s="117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  <c r="AA274" s="117"/>
      <c r="AB274" s="117"/>
      <c r="AC274" s="117"/>
    </row>
    <row r="275" spans="4:29" ht="15.75" customHeight="1">
      <c r="D275" s="117"/>
      <c r="E275" s="117"/>
      <c r="F275" s="117"/>
      <c r="G275" s="133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</row>
    <row r="276" spans="4:29" ht="15.75" customHeight="1">
      <c r="D276" s="117"/>
      <c r="E276" s="117"/>
      <c r="F276" s="117"/>
      <c r="G276" s="133"/>
      <c r="H276" s="117"/>
      <c r="I276" s="117"/>
      <c r="J276" s="117"/>
      <c r="K276" s="117"/>
      <c r="L276" s="117"/>
      <c r="M276" s="117"/>
      <c r="N276" s="117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  <c r="AA276" s="117"/>
      <c r="AB276" s="117"/>
      <c r="AC276" s="117"/>
    </row>
    <row r="277" spans="4:29" ht="15.75" customHeight="1">
      <c r="D277" s="117"/>
      <c r="E277" s="117"/>
      <c r="F277" s="117"/>
      <c r="G277" s="133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B277" s="117"/>
      <c r="AC277" s="117"/>
    </row>
    <row r="278" spans="4:29" ht="15.75" customHeight="1">
      <c r="D278" s="117"/>
      <c r="E278" s="117"/>
      <c r="F278" s="117"/>
      <c r="G278" s="133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  <c r="AA278" s="117"/>
      <c r="AB278" s="117"/>
      <c r="AC278" s="117"/>
    </row>
    <row r="279" spans="4:29" ht="15.75" customHeight="1">
      <c r="D279" s="117"/>
      <c r="E279" s="117"/>
      <c r="F279" s="117"/>
      <c r="G279" s="133"/>
      <c r="H279" s="117"/>
      <c r="I279" s="117"/>
      <c r="J279" s="117"/>
      <c r="K279" s="117"/>
      <c r="L279" s="117"/>
      <c r="M279" s="117"/>
      <c r="N279" s="117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  <c r="AB279" s="117"/>
      <c r="AC279" s="117"/>
    </row>
    <row r="280" spans="4:29" ht="15.75" customHeight="1">
      <c r="D280" s="117"/>
      <c r="E280" s="117"/>
      <c r="F280" s="117"/>
      <c r="G280" s="133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  <c r="AB280" s="117"/>
      <c r="AC280" s="117"/>
    </row>
    <row r="281" spans="4:29" ht="15.75" customHeight="1">
      <c r="D281" s="117"/>
      <c r="E281" s="117"/>
      <c r="F281" s="117"/>
      <c r="G281" s="133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  <c r="AB281" s="117"/>
      <c r="AC281" s="117"/>
    </row>
    <row r="282" spans="4:29" ht="15.75" customHeight="1">
      <c r="D282" s="117"/>
      <c r="E282" s="117"/>
      <c r="F282" s="117"/>
      <c r="G282" s="133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  <c r="AA282" s="117"/>
      <c r="AB282" s="117"/>
      <c r="AC282" s="117"/>
    </row>
    <row r="283" spans="4:29" ht="15.75" customHeight="1">
      <c r="D283" s="117"/>
      <c r="E283" s="117"/>
      <c r="F283" s="117"/>
      <c r="G283" s="133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  <c r="AA283" s="117"/>
      <c r="AB283" s="117"/>
      <c r="AC283" s="117"/>
    </row>
    <row r="284" spans="4:29" ht="15.75" customHeight="1">
      <c r="D284" s="117"/>
      <c r="E284" s="117"/>
      <c r="F284" s="117"/>
      <c r="G284" s="133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  <c r="AA284" s="117"/>
      <c r="AB284" s="117"/>
      <c r="AC284" s="117"/>
    </row>
    <row r="285" spans="4:29" ht="15.75" customHeight="1">
      <c r="D285" s="117"/>
      <c r="E285" s="117"/>
      <c r="F285" s="117"/>
      <c r="G285" s="133"/>
      <c r="H285" s="117"/>
      <c r="I285" s="117"/>
      <c r="J285" s="117"/>
      <c r="K285" s="117"/>
      <c r="L285" s="117"/>
      <c r="M285" s="117"/>
      <c r="N285" s="117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  <c r="AA285" s="117"/>
      <c r="AB285" s="117"/>
      <c r="AC285" s="117"/>
    </row>
    <row r="286" spans="4:29" ht="15.75" customHeight="1">
      <c r="D286" s="117"/>
      <c r="E286" s="117"/>
      <c r="F286" s="117"/>
      <c r="G286" s="133"/>
      <c r="H286" s="117"/>
      <c r="I286" s="117"/>
      <c r="J286" s="117"/>
      <c r="K286" s="117"/>
      <c r="L286" s="117"/>
      <c r="M286" s="117"/>
      <c r="N286" s="117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  <c r="AA286" s="117"/>
      <c r="AB286" s="117"/>
      <c r="AC286" s="117"/>
    </row>
    <row r="287" spans="4:29" ht="15.75" customHeight="1">
      <c r="D287" s="117"/>
      <c r="E287" s="117"/>
      <c r="F287" s="117"/>
      <c r="G287" s="133"/>
      <c r="H287" s="117"/>
      <c r="I287" s="117"/>
      <c r="J287" s="117"/>
      <c r="K287" s="117"/>
      <c r="L287" s="117"/>
      <c r="M287" s="117"/>
      <c r="N287" s="117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  <c r="AA287" s="117"/>
      <c r="AB287" s="117"/>
      <c r="AC287" s="117"/>
    </row>
    <row r="288" spans="4:29" ht="15.75" customHeight="1">
      <c r="D288" s="117"/>
      <c r="E288" s="117"/>
      <c r="F288" s="117"/>
      <c r="G288" s="133"/>
      <c r="H288" s="117"/>
      <c r="I288" s="117"/>
      <c r="J288" s="117"/>
      <c r="K288" s="117"/>
      <c r="L288" s="117"/>
      <c r="M288" s="117"/>
      <c r="N288" s="117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  <c r="AA288" s="117"/>
      <c r="AB288" s="117"/>
      <c r="AC288" s="117"/>
    </row>
    <row r="289" spans="4:29" ht="15.75" customHeight="1">
      <c r="D289" s="117"/>
      <c r="E289" s="117"/>
      <c r="F289" s="117"/>
      <c r="G289" s="133"/>
      <c r="H289" s="117"/>
      <c r="I289" s="117"/>
      <c r="J289" s="117"/>
      <c r="K289" s="117"/>
      <c r="L289" s="117"/>
      <c r="M289" s="117"/>
      <c r="N289" s="117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  <c r="AA289" s="117"/>
      <c r="AB289" s="117"/>
      <c r="AC289" s="117"/>
    </row>
    <row r="290" spans="4:29" ht="15.75" customHeight="1">
      <c r="D290" s="117"/>
      <c r="E290" s="117"/>
      <c r="F290" s="117"/>
      <c r="G290" s="133"/>
      <c r="H290" s="117"/>
      <c r="I290" s="117"/>
      <c r="J290" s="117"/>
      <c r="K290" s="117"/>
      <c r="L290" s="117"/>
      <c r="M290" s="117"/>
      <c r="N290" s="117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  <c r="AA290" s="117"/>
      <c r="AB290" s="117"/>
      <c r="AC290" s="117"/>
    </row>
    <row r="291" spans="4:29" ht="15.75" customHeight="1">
      <c r="D291" s="117"/>
      <c r="E291" s="117"/>
      <c r="F291" s="117"/>
      <c r="G291" s="133"/>
      <c r="H291" s="117"/>
      <c r="I291" s="117"/>
      <c r="J291" s="117"/>
      <c r="K291" s="117"/>
      <c r="L291" s="117"/>
      <c r="M291" s="117"/>
      <c r="N291" s="117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  <c r="AA291" s="117"/>
      <c r="AB291" s="117"/>
      <c r="AC291" s="117"/>
    </row>
    <row r="292" spans="4:29" ht="15.75" customHeight="1">
      <c r="D292" s="117"/>
      <c r="E292" s="117"/>
      <c r="F292" s="117"/>
      <c r="G292" s="133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</row>
    <row r="293" spans="4:29" ht="15.75" customHeight="1">
      <c r="D293" s="117"/>
      <c r="E293" s="117"/>
      <c r="F293" s="117"/>
      <c r="G293" s="133"/>
      <c r="H293" s="117"/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  <c r="AA293" s="117"/>
      <c r="AB293" s="117"/>
      <c r="AC293" s="117"/>
    </row>
    <row r="294" spans="4:29" ht="15.75" customHeight="1">
      <c r="D294" s="117"/>
      <c r="E294" s="117"/>
      <c r="F294" s="117"/>
      <c r="G294" s="133"/>
      <c r="H294" s="117"/>
      <c r="I294" s="117"/>
      <c r="J294" s="117"/>
      <c r="K294" s="117"/>
      <c r="L294" s="117"/>
      <c r="M294" s="117"/>
      <c r="N294" s="117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  <c r="AA294" s="117"/>
      <c r="AB294" s="117"/>
      <c r="AC294" s="117"/>
    </row>
    <row r="295" spans="4:29" ht="15.75" customHeight="1">
      <c r="D295" s="117"/>
      <c r="E295" s="117"/>
      <c r="F295" s="117"/>
      <c r="G295" s="133"/>
      <c r="H295" s="117"/>
      <c r="I295" s="117"/>
      <c r="J295" s="117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  <c r="AA295" s="117"/>
      <c r="AB295" s="117"/>
      <c r="AC295" s="117"/>
    </row>
    <row r="296" spans="4:29" ht="15.75" customHeight="1">
      <c r="D296" s="117"/>
      <c r="E296" s="117"/>
      <c r="F296" s="117"/>
      <c r="G296" s="133"/>
      <c r="H296" s="117"/>
      <c r="I296" s="117"/>
      <c r="J296" s="117"/>
      <c r="K296" s="117"/>
      <c r="L296" s="117"/>
      <c r="M296" s="117"/>
      <c r="N296" s="117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  <c r="AA296" s="117"/>
      <c r="AB296" s="117"/>
      <c r="AC296" s="117"/>
    </row>
    <row r="297" spans="4:29" ht="15.75" customHeight="1">
      <c r="D297" s="117"/>
      <c r="E297" s="117"/>
      <c r="F297" s="117"/>
      <c r="G297" s="133"/>
      <c r="H297" s="117"/>
      <c r="I297" s="117"/>
      <c r="J297" s="117"/>
      <c r="K297" s="117"/>
      <c r="L297" s="117"/>
      <c r="M297" s="117"/>
      <c r="N297" s="117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  <c r="AA297" s="117"/>
      <c r="AB297" s="117"/>
      <c r="AC297" s="117"/>
    </row>
    <row r="298" spans="4:29" ht="15.75" customHeight="1">
      <c r="D298" s="117"/>
      <c r="E298" s="117"/>
      <c r="F298" s="117"/>
      <c r="G298" s="133"/>
      <c r="H298" s="117"/>
      <c r="I298" s="117"/>
      <c r="J298" s="117"/>
      <c r="K298" s="117"/>
      <c r="L298" s="117"/>
      <c r="M298" s="117"/>
      <c r="N298" s="117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  <c r="AA298" s="117"/>
      <c r="AB298" s="117"/>
      <c r="AC298" s="117"/>
    </row>
    <row r="299" spans="4:29" ht="15.75" customHeight="1">
      <c r="D299" s="117"/>
      <c r="E299" s="117"/>
      <c r="F299" s="117"/>
      <c r="G299" s="133"/>
      <c r="H299" s="117"/>
      <c r="I299" s="117"/>
      <c r="J299" s="117"/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</row>
    <row r="300" spans="4:29" ht="15.75" customHeight="1">
      <c r="D300" s="117"/>
      <c r="E300" s="117"/>
      <c r="F300" s="117"/>
      <c r="G300" s="133"/>
      <c r="H300" s="117"/>
      <c r="I300" s="117"/>
      <c r="J300" s="117"/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</row>
    <row r="301" spans="4:29" ht="15.75" customHeight="1">
      <c r="D301" s="117"/>
      <c r="E301" s="117"/>
      <c r="F301" s="117"/>
      <c r="G301" s="133"/>
      <c r="H301" s="117"/>
      <c r="I301" s="117"/>
      <c r="J301" s="117"/>
      <c r="K301" s="117"/>
      <c r="L301" s="117"/>
      <c r="M301" s="117"/>
      <c r="N301" s="117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  <c r="AA301" s="117"/>
      <c r="AB301" s="117"/>
      <c r="AC301" s="117"/>
    </row>
    <row r="302" spans="4:29" ht="15.75" customHeight="1">
      <c r="D302" s="117"/>
      <c r="E302" s="117"/>
      <c r="F302" s="117"/>
      <c r="G302" s="133"/>
      <c r="H302" s="117"/>
      <c r="I302" s="117"/>
      <c r="J302" s="117"/>
      <c r="K302" s="117"/>
      <c r="L302" s="117"/>
      <c r="M302" s="117"/>
      <c r="N302" s="117"/>
      <c r="O302" s="117"/>
      <c r="P302" s="117"/>
      <c r="Q302" s="117"/>
      <c r="R302" s="117"/>
      <c r="S302" s="117"/>
      <c r="T302" s="117"/>
      <c r="U302" s="117"/>
      <c r="V302" s="117"/>
      <c r="W302" s="117"/>
      <c r="X302" s="117"/>
      <c r="Y302" s="117"/>
      <c r="Z302" s="117"/>
      <c r="AA302" s="117"/>
      <c r="AB302" s="117"/>
      <c r="AC302" s="117"/>
    </row>
    <row r="303" spans="4:29" ht="15.75" customHeight="1">
      <c r="D303" s="117"/>
      <c r="E303" s="117"/>
      <c r="F303" s="117"/>
      <c r="G303" s="133"/>
      <c r="H303" s="117"/>
      <c r="I303" s="117"/>
      <c r="J303" s="117"/>
      <c r="K303" s="117"/>
      <c r="L303" s="117"/>
      <c r="M303" s="117"/>
      <c r="N303" s="117"/>
      <c r="O303" s="117"/>
      <c r="P303" s="117"/>
      <c r="Q303" s="117"/>
      <c r="R303" s="117"/>
      <c r="S303" s="117"/>
      <c r="T303" s="117"/>
      <c r="U303" s="117"/>
      <c r="V303" s="117"/>
      <c r="W303" s="117"/>
      <c r="X303" s="117"/>
      <c r="Y303" s="117"/>
      <c r="Z303" s="117"/>
      <c r="AA303" s="117"/>
      <c r="AB303" s="117"/>
      <c r="AC303" s="117"/>
    </row>
    <row r="304" spans="4:29" ht="15.75" customHeight="1">
      <c r="D304" s="117"/>
      <c r="E304" s="117"/>
      <c r="F304" s="117"/>
      <c r="G304" s="133"/>
      <c r="H304" s="117"/>
      <c r="I304" s="117"/>
      <c r="J304" s="117"/>
      <c r="K304" s="117"/>
      <c r="L304" s="117"/>
      <c r="M304" s="117"/>
      <c r="N304" s="117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  <c r="AA304" s="117"/>
      <c r="AB304" s="117"/>
      <c r="AC304" s="117"/>
    </row>
    <row r="305" spans="4:29" ht="15.75" customHeight="1">
      <c r="D305" s="117"/>
      <c r="E305" s="117"/>
      <c r="F305" s="117"/>
      <c r="G305" s="133"/>
      <c r="H305" s="117"/>
      <c r="I305" s="117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  <c r="AA305" s="117"/>
      <c r="AB305" s="117"/>
      <c r="AC305" s="117"/>
    </row>
    <row r="306" spans="4:29" ht="15.75" customHeight="1">
      <c r="D306" s="117"/>
      <c r="E306" s="117"/>
      <c r="F306" s="117"/>
      <c r="G306" s="133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  <c r="AA306" s="117"/>
      <c r="AB306" s="117"/>
      <c r="AC306" s="117"/>
    </row>
    <row r="307" spans="4:29" ht="15.75" customHeight="1">
      <c r="D307" s="117"/>
      <c r="E307" s="117"/>
      <c r="F307" s="117"/>
      <c r="G307" s="133"/>
      <c r="H307" s="117"/>
      <c r="I307" s="117"/>
      <c r="J307" s="117"/>
      <c r="K307" s="117"/>
      <c r="L307" s="117"/>
      <c r="M307" s="117"/>
      <c r="N307" s="117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  <c r="AA307" s="117"/>
      <c r="AB307" s="117"/>
      <c r="AC307" s="117"/>
    </row>
    <row r="308" spans="4:29" ht="15.75" customHeight="1">
      <c r="D308" s="117"/>
      <c r="E308" s="117"/>
      <c r="F308" s="117"/>
      <c r="G308" s="133"/>
      <c r="H308" s="117"/>
      <c r="I308" s="117"/>
      <c r="J308" s="117"/>
      <c r="K308" s="117"/>
      <c r="L308" s="117"/>
      <c r="M308" s="117"/>
      <c r="N308" s="117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  <c r="AA308" s="117"/>
      <c r="AB308" s="117"/>
      <c r="AC308" s="117"/>
    </row>
    <row r="309" spans="4:29" ht="15.75" customHeight="1">
      <c r="D309" s="117"/>
      <c r="E309" s="117"/>
      <c r="F309" s="117"/>
      <c r="G309" s="133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7"/>
    </row>
    <row r="310" spans="4:29" ht="15.75" customHeight="1">
      <c r="D310" s="117"/>
      <c r="E310" s="117"/>
      <c r="F310" s="117"/>
      <c r="G310" s="133"/>
      <c r="H310" s="117"/>
      <c r="I310" s="117"/>
      <c r="J310" s="117"/>
      <c r="K310" s="117"/>
      <c r="L310" s="117"/>
      <c r="M310" s="117"/>
      <c r="N310" s="117"/>
      <c r="O310" s="117"/>
      <c r="P310" s="117"/>
      <c r="Q310" s="117"/>
      <c r="R310" s="117"/>
      <c r="S310" s="117"/>
      <c r="T310" s="117"/>
      <c r="U310" s="117"/>
      <c r="V310" s="117"/>
      <c r="W310" s="117"/>
      <c r="X310" s="117"/>
      <c r="Y310" s="117"/>
      <c r="Z310" s="117"/>
      <c r="AA310" s="117"/>
      <c r="AB310" s="117"/>
      <c r="AC310" s="117"/>
    </row>
    <row r="311" spans="4:29" ht="15.75" customHeight="1">
      <c r="D311" s="117"/>
      <c r="E311" s="117"/>
      <c r="F311" s="117"/>
      <c r="G311" s="133"/>
      <c r="H311" s="117"/>
      <c r="I311" s="117"/>
      <c r="J311" s="117"/>
      <c r="K311" s="117"/>
      <c r="L311" s="117"/>
      <c r="M311" s="117"/>
      <c r="N311" s="117"/>
      <c r="O311" s="117"/>
      <c r="P311" s="117"/>
      <c r="Q311" s="117"/>
      <c r="R311" s="117"/>
      <c r="S311" s="117"/>
      <c r="T311" s="117"/>
      <c r="U311" s="117"/>
      <c r="V311" s="117"/>
      <c r="W311" s="117"/>
      <c r="X311" s="117"/>
      <c r="Y311" s="117"/>
      <c r="Z311" s="117"/>
      <c r="AA311" s="117"/>
      <c r="AB311" s="117"/>
      <c r="AC311" s="117"/>
    </row>
    <row r="312" spans="4:29" ht="15.75" customHeight="1">
      <c r="D312" s="117"/>
      <c r="E312" s="117"/>
      <c r="F312" s="117"/>
      <c r="G312" s="133"/>
      <c r="H312" s="117"/>
      <c r="I312" s="117"/>
      <c r="J312" s="117"/>
      <c r="K312" s="117"/>
      <c r="L312" s="117"/>
      <c r="M312" s="117"/>
      <c r="N312" s="117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  <c r="AA312" s="117"/>
      <c r="AB312" s="117"/>
      <c r="AC312" s="117"/>
    </row>
    <row r="313" spans="4:29" ht="15.75" customHeight="1">
      <c r="D313" s="117"/>
      <c r="E313" s="117"/>
      <c r="F313" s="117"/>
      <c r="G313" s="133"/>
      <c r="H313" s="117"/>
      <c r="I313" s="117"/>
      <c r="J313" s="117"/>
      <c r="K313" s="117"/>
      <c r="L313" s="117"/>
      <c r="M313" s="117"/>
      <c r="N313" s="117"/>
      <c r="O313" s="117"/>
      <c r="P313" s="117"/>
      <c r="Q313" s="117"/>
      <c r="R313" s="117"/>
      <c r="S313" s="117"/>
      <c r="T313" s="117"/>
      <c r="U313" s="117"/>
      <c r="V313" s="117"/>
      <c r="W313" s="117"/>
      <c r="X313" s="117"/>
      <c r="Y313" s="117"/>
      <c r="Z313" s="117"/>
      <c r="AA313" s="117"/>
      <c r="AB313" s="117"/>
      <c r="AC313" s="117"/>
    </row>
    <row r="314" spans="4:29" ht="15.75" customHeight="1">
      <c r="D314" s="117"/>
      <c r="E314" s="117"/>
      <c r="F314" s="117"/>
      <c r="G314" s="133"/>
      <c r="H314" s="117"/>
      <c r="I314" s="117"/>
      <c r="J314" s="117"/>
      <c r="K314" s="117"/>
      <c r="L314" s="117"/>
      <c r="M314" s="117"/>
      <c r="N314" s="117"/>
      <c r="O314" s="117"/>
      <c r="P314" s="117"/>
      <c r="Q314" s="117"/>
      <c r="R314" s="117"/>
      <c r="S314" s="117"/>
      <c r="T314" s="117"/>
      <c r="U314" s="117"/>
      <c r="V314" s="117"/>
      <c r="W314" s="117"/>
      <c r="X314" s="117"/>
      <c r="Y314" s="117"/>
      <c r="Z314" s="117"/>
      <c r="AA314" s="117"/>
      <c r="AB314" s="117"/>
      <c r="AC314" s="117"/>
    </row>
    <row r="315" spans="4:29" ht="15.75" customHeight="1">
      <c r="D315" s="117"/>
      <c r="E315" s="117"/>
      <c r="F315" s="117"/>
      <c r="G315" s="133"/>
      <c r="H315" s="117"/>
      <c r="I315" s="117"/>
      <c r="J315" s="117"/>
      <c r="K315" s="117"/>
      <c r="L315" s="117"/>
      <c r="M315" s="117"/>
      <c r="N315" s="117"/>
      <c r="O315" s="117"/>
      <c r="P315" s="117"/>
      <c r="Q315" s="117"/>
      <c r="R315" s="117"/>
      <c r="S315" s="117"/>
      <c r="T315" s="117"/>
      <c r="U315" s="117"/>
      <c r="V315" s="117"/>
      <c r="W315" s="117"/>
      <c r="X315" s="117"/>
      <c r="Y315" s="117"/>
      <c r="Z315" s="117"/>
      <c r="AA315" s="117"/>
      <c r="AB315" s="117"/>
      <c r="AC315" s="117"/>
    </row>
    <row r="316" spans="4:29" ht="15.75" customHeight="1">
      <c r="D316" s="117"/>
      <c r="E316" s="117"/>
      <c r="F316" s="117"/>
      <c r="G316" s="133"/>
      <c r="H316" s="117"/>
      <c r="I316" s="117"/>
      <c r="J316" s="117"/>
      <c r="K316" s="117"/>
      <c r="L316" s="117"/>
      <c r="M316" s="117"/>
      <c r="N316" s="117"/>
      <c r="O316" s="117"/>
      <c r="P316" s="117"/>
      <c r="Q316" s="117"/>
      <c r="R316" s="117"/>
      <c r="S316" s="117"/>
      <c r="T316" s="117"/>
      <c r="U316" s="117"/>
      <c r="V316" s="117"/>
      <c r="W316" s="117"/>
      <c r="X316" s="117"/>
      <c r="Y316" s="117"/>
      <c r="Z316" s="117"/>
      <c r="AA316" s="117"/>
      <c r="AB316" s="117"/>
      <c r="AC316" s="117"/>
    </row>
    <row r="317" spans="4:29" ht="15.75" customHeight="1">
      <c r="D317" s="117"/>
      <c r="E317" s="117"/>
      <c r="F317" s="117"/>
      <c r="G317" s="133"/>
      <c r="H317" s="117"/>
      <c r="I317" s="117"/>
      <c r="J317" s="117"/>
      <c r="K317" s="117"/>
      <c r="L317" s="117"/>
      <c r="M317" s="117"/>
      <c r="N317" s="117"/>
      <c r="O317" s="117"/>
      <c r="P317" s="117"/>
      <c r="Q317" s="117"/>
      <c r="R317" s="117"/>
      <c r="S317" s="117"/>
      <c r="T317" s="117"/>
      <c r="U317" s="117"/>
      <c r="V317" s="117"/>
      <c r="W317" s="117"/>
      <c r="X317" s="117"/>
      <c r="Y317" s="117"/>
      <c r="Z317" s="117"/>
      <c r="AA317" s="117"/>
      <c r="AB317" s="117"/>
      <c r="AC317" s="117"/>
    </row>
    <row r="318" spans="4:29" ht="15.75" customHeight="1">
      <c r="D318" s="117"/>
      <c r="E318" s="117"/>
      <c r="F318" s="117"/>
      <c r="G318" s="133"/>
      <c r="H318" s="117"/>
      <c r="I318" s="117"/>
      <c r="J318" s="117"/>
      <c r="K318" s="117"/>
      <c r="L318" s="117"/>
      <c r="M318" s="117"/>
      <c r="N318" s="117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  <c r="AA318" s="117"/>
      <c r="AB318" s="117"/>
      <c r="AC318" s="117"/>
    </row>
    <row r="319" spans="4:29" ht="15.75" customHeight="1">
      <c r="D319" s="117"/>
      <c r="E319" s="117"/>
      <c r="F319" s="117"/>
      <c r="G319" s="133"/>
      <c r="H319" s="117"/>
      <c r="I319" s="117"/>
      <c r="J319" s="117"/>
      <c r="K319" s="117"/>
      <c r="L319" s="117"/>
      <c r="M319" s="117"/>
      <c r="N319" s="117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  <c r="AA319" s="117"/>
      <c r="AB319" s="117"/>
      <c r="AC319" s="117"/>
    </row>
    <row r="320" spans="4:29" ht="15.75" customHeight="1">
      <c r="D320" s="117"/>
      <c r="E320" s="117"/>
      <c r="F320" s="117"/>
      <c r="G320" s="133"/>
      <c r="H320" s="117"/>
      <c r="I320" s="117"/>
      <c r="J320" s="117"/>
      <c r="K320" s="117"/>
      <c r="L320" s="117"/>
      <c r="M320" s="117"/>
      <c r="N320" s="117"/>
      <c r="O320" s="117"/>
      <c r="P320" s="117"/>
      <c r="Q320" s="117"/>
      <c r="R320" s="117"/>
      <c r="S320" s="117"/>
      <c r="T320" s="117"/>
      <c r="U320" s="117"/>
      <c r="V320" s="117"/>
      <c r="W320" s="117"/>
      <c r="X320" s="117"/>
      <c r="Y320" s="117"/>
      <c r="Z320" s="117"/>
      <c r="AA320" s="117"/>
      <c r="AB320" s="117"/>
      <c r="AC320" s="117"/>
    </row>
    <row r="321" spans="4:29" ht="15.75" customHeight="1">
      <c r="D321" s="117"/>
      <c r="E321" s="117"/>
      <c r="F321" s="117"/>
      <c r="G321" s="133"/>
      <c r="H321" s="117"/>
      <c r="I321" s="117"/>
      <c r="J321" s="117"/>
      <c r="K321" s="117"/>
      <c r="L321" s="117"/>
      <c r="M321" s="117"/>
      <c r="N321" s="117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  <c r="AA321" s="117"/>
      <c r="AB321" s="117"/>
      <c r="AC321" s="117"/>
    </row>
    <row r="322" spans="4:29" ht="15.75" customHeight="1">
      <c r="D322" s="117"/>
      <c r="E322" s="117"/>
      <c r="F322" s="117"/>
      <c r="G322" s="133"/>
      <c r="H322" s="117"/>
      <c r="I322" s="117"/>
      <c r="J322" s="117"/>
      <c r="K322" s="117"/>
      <c r="L322" s="117"/>
      <c r="M322" s="117"/>
      <c r="N322" s="117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  <c r="AA322" s="117"/>
      <c r="AB322" s="117"/>
      <c r="AC322" s="117"/>
    </row>
    <row r="323" spans="4:29" ht="15.75" customHeight="1">
      <c r="D323" s="117"/>
      <c r="E323" s="117"/>
      <c r="F323" s="117"/>
      <c r="G323" s="133"/>
      <c r="H323" s="117"/>
      <c r="I323" s="117"/>
      <c r="J323" s="117"/>
      <c r="K323" s="117"/>
      <c r="L323" s="117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  <c r="AA323" s="117"/>
      <c r="AB323" s="117"/>
      <c r="AC323" s="117"/>
    </row>
    <row r="324" spans="4:29" ht="15.75" customHeight="1">
      <c r="D324" s="117"/>
      <c r="E324" s="117"/>
      <c r="F324" s="117"/>
      <c r="G324" s="133"/>
      <c r="H324" s="117"/>
      <c r="I324" s="117"/>
      <c r="J324" s="117"/>
      <c r="K324" s="117"/>
      <c r="L324" s="117"/>
      <c r="M324" s="117"/>
      <c r="N324" s="117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  <c r="AA324" s="117"/>
      <c r="AB324" s="117"/>
      <c r="AC324" s="117"/>
    </row>
    <row r="325" spans="4:29" ht="15.75" customHeight="1">
      <c r="D325" s="117"/>
      <c r="E325" s="117"/>
      <c r="F325" s="117"/>
      <c r="G325" s="133"/>
      <c r="H325" s="117"/>
      <c r="I325" s="117"/>
      <c r="J325" s="117"/>
      <c r="K325" s="117"/>
      <c r="L325" s="117"/>
      <c r="M325" s="117"/>
      <c r="N325" s="117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  <c r="AA325" s="117"/>
      <c r="AB325" s="117"/>
      <c r="AC325" s="117"/>
    </row>
    <row r="326" spans="4:29" ht="15.75" customHeight="1">
      <c r="D326" s="117"/>
      <c r="E326" s="117"/>
      <c r="F326" s="117"/>
      <c r="G326" s="133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</row>
    <row r="327" spans="4:29" ht="15.75" customHeight="1">
      <c r="D327" s="117"/>
      <c r="E327" s="117"/>
      <c r="F327" s="117"/>
      <c r="G327" s="133"/>
      <c r="H327" s="117"/>
      <c r="I327" s="117"/>
      <c r="J327" s="117"/>
      <c r="K327" s="117"/>
      <c r="L327" s="117"/>
      <c r="M327" s="117"/>
      <c r="N327" s="117"/>
      <c r="O327" s="117"/>
      <c r="P327" s="117"/>
      <c r="Q327" s="117"/>
      <c r="R327" s="117"/>
      <c r="S327" s="117"/>
      <c r="T327" s="117"/>
      <c r="U327" s="117"/>
      <c r="V327" s="117"/>
      <c r="W327" s="117"/>
      <c r="X327" s="117"/>
      <c r="Y327" s="117"/>
      <c r="Z327" s="117"/>
      <c r="AA327" s="117"/>
      <c r="AB327" s="117"/>
      <c r="AC327" s="117"/>
    </row>
    <row r="328" spans="4:29" ht="15.75" customHeight="1">
      <c r="D328" s="117"/>
      <c r="E328" s="117"/>
      <c r="F328" s="117"/>
      <c r="G328" s="133"/>
      <c r="H328" s="117"/>
      <c r="I328" s="117"/>
      <c r="J328" s="117"/>
      <c r="K328" s="117"/>
      <c r="L328" s="117"/>
      <c r="M328" s="117"/>
      <c r="N328" s="117"/>
      <c r="O328" s="117"/>
      <c r="P328" s="117"/>
      <c r="Q328" s="117"/>
      <c r="R328" s="117"/>
      <c r="S328" s="117"/>
      <c r="T328" s="117"/>
      <c r="U328" s="117"/>
      <c r="V328" s="117"/>
      <c r="W328" s="117"/>
      <c r="X328" s="117"/>
      <c r="Y328" s="117"/>
      <c r="Z328" s="117"/>
      <c r="AA328" s="117"/>
      <c r="AB328" s="117"/>
      <c r="AC328" s="117"/>
    </row>
    <row r="329" spans="4:29" ht="15.75" customHeight="1">
      <c r="D329" s="117"/>
      <c r="E329" s="117"/>
      <c r="F329" s="117"/>
      <c r="G329" s="133"/>
      <c r="H329" s="117"/>
      <c r="I329" s="117"/>
      <c r="J329" s="117"/>
      <c r="K329" s="117"/>
      <c r="L329" s="117"/>
      <c r="M329" s="117"/>
      <c r="N329" s="117"/>
      <c r="O329" s="117"/>
      <c r="P329" s="117"/>
      <c r="Q329" s="117"/>
      <c r="R329" s="117"/>
      <c r="S329" s="117"/>
      <c r="T329" s="117"/>
      <c r="U329" s="117"/>
      <c r="V329" s="117"/>
      <c r="W329" s="117"/>
      <c r="X329" s="117"/>
      <c r="Y329" s="117"/>
      <c r="Z329" s="117"/>
      <c r="AA329" s="117"/>
      <c r="AB329" s="117"/>
      <c r="AC329" s="117"/>
    </row>
    <row r="330" spans="4:29" ht="15.75" customHeight="1">
      <c r="D330" s="117"/>
      <c r="E330" s="117"/>
      <c r="F330" s="117"/>
      <c r="G330" s="133"/>
      <c r="H330" s="117"/>
      <c r="I330" s="117"/>
      <c r="J330" s="117"/>
      <c r="K330" s="117"/>
      <c r="L330" s="117"/>
      <c r="M330" s="117"/>
      <c r="N330" s="117"/>
      <c r="O330" s="117"/>
      <c r="P330" s="117"/>
      <c r="Q330" s="117"/>
      <c r="R330" s="117"/>
      <c r="S330" s="117"/>
      <c r="T330" s="117"/>
      <c r="U330" s="117"/>
      <c r="V330" s="117"/>
      <c r="W330" s="117"/>
      <c r="X330" s="117"/>
      <c r="Y330" s="117"/>
      <c r="Z330" s="117"/>
      <c r="AA330" s="117"/>
      <c r="AB330" s="117"/>
      <c r="AC330" s="117"/>
    </row>
    <row r="331" spans="4:29" ht="15.75" customHeight="1">
      <c r="D331" s="117"/>
      <c r="E331" s="117"/>
      <c r="F331" s="117"/>
      <c r="G331" s="133"/>
      <c r="H331" s="117"/>
      <c r="I331" s="117"/>
      <c r="J331" s="117"/>
      <c r="K331" s="117"/>
      <c r="L331" s="117"/>
      <c r="M331" s="117"/>
      <c r="N331" s="117"/>
      <c r="O331" s="117"/>
      <c r="P331" s="117"/>
      <c r="Q331" s="117"/>
      <c r="R331" s="117"/>
      <c r="S331" s="117"/>
      <c r="T331" s="117"/>
      <c r="U331" s="117"/>
      <c r="V331" s="117"/>
      <c r="W331" s="117"/>
      <c r="X331" s="117"/>
      <c r="Y331" s="117"/>
      <c r="Z331" s="117"/>
      <c r="AA331" s="117"/>
      <c r="AB331" s="117"/>
      <c r="AC331" s="117"/>
    </row>
    <row r="332" spans="4:29" ht="15.75" customHeight="1"/>
    <row r="333" spans="4:29" ht="15.75" customHeight="1"/>
    <row r="334" spans="4:29" ht="15.75" customHeight="1"/>
    <row r="335" spans="4:29" ht="15.75" customHeight="1"/>
    <row r="336" spans="4:29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</sheetData>
  <sortState xmlns:xlrd2="http://schemas.microsoft.com/office/spreadsheetml/2017/richdata2" ref="E94:R103">
    <sortCondition ref="E94:E103"/>
  </sortState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Bonus Structure</vt:lpstr>
      <vt:lpstr>Trike Bonus</vt:lpstr>
      <vt:lpstr>April Bonus</vt:lpstr>
      <vt:lpstr>Payroll</vt:lpstr>
      <vt:lpstr>KPIs</vt:lpstr>
      <vt:lpstr>Site Expenses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Nolan</dc:creator>
  <cp:lastModifiedBy>Daniel Nolan</cp:lastModifiedBy>
  <dcterms:created xsi:type="dcterms:W3CDTF">2019-03-13T22:12:02Z</dcterms:created>
  <dcterms:modified xsi:type="dcterms:W3CDTF">2019-03-22T20:43:46Z</dcterms:modified>
</cp:coreProperties>
</file>